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요약" sheetId="1" state="visible" r:id="rId3"/>
    <sheet name="1_단가정보" sheetId="2" state="visible" r:id="rId4"/>
    <sheet name="2_사용자유형" sheetId="3" state="visible" r:id="rId5"/>
    <sheet name="3_사용자당원가" sheetId="4" state="visible" r:id="rId6"/>
    <sheet name="4_규모별원가" sheetId="5" state="visible" r:id="rId7"/>
    <sheet name="5_CDN효과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<sst xmlns="http://schemas.openxmlformats.org/spreadsheetml/2006/main" count="202" uniqueCount="164">
  <si>
    <t xml:space="preserve">리튼(Litten) 원가표 요약</t>
  </si>
  <si>
    <t xml:space="preserve">작성일: 2026년 7월</t>
  </si>
  <si>
    <t xml:space="preserve">▶ 핵심 원가 지표</t>
  </si>
  <si>
    <t xml:space="preserve">구분</t>
  </si>
  <si>
    <t xml:space="preserve">라이트</t>
  </si>
  <si>
    <t xml:space="preserve">미디엄</t>
  </si>
  <si>
    <t xml:space="preserve">헤비</t>
  </si>
  <si>
    <t xml:space="preserve">설명</t>
  </si>
  <si>
    <t xml:space="preserve">월 원가 (₩, CDN 미적용)</t>
  </si>
  <si>
    <r>
      <rPr>
        <sz val="11"/>
        <color theme="1"/>
        <rFont val="Calibri"/>
        <family val="2"/>
        <charset val="1"/>
      </rPr>
      <t xml:space="preserve">1,000</t>
    </r>
    <r>
      <rPr>
        <sz val="11"/>
        <color theme="1"/>
        <rFont val="Noto Sans CJK SC"/>
        <family val="2"/>
      </rPr>
      <t xml:space="preserve">명 규모 기준</t>
    </r>
  </si>
  <si>
    <t xml:space="preserve">▶ 규모별 사용자당 평균 원가</t>
  </si>
  <si>
    <t xml:space="preserve">사용자 수</t>
  </si>
  <si>
    <r>
      <rPr>
        <b val="true"/>
        <sz val="10"/>
        <rFont val="Arial"/>
        <family val="0"/>
        <charset val="1"/>
      </rPr>
      <t xml:space="preserve">100</t>
    </r>
    <r>
      <rPr>
        <b val="true"/>
        <sz val="10"/>
        <rFont val="Noto Sans CJK SC"/>
        <family val="2"/>
      </rPr>
      <t xml:space="preserve">명</t>
    </r>
  </si>
  <si>
    <r>
      <rPr>
        <b val="true"/>
        <sz val="10"/>
        <rFont val="Arial"/>
        <family val="0"/>
        <charset val="1"/>
      </rPr>
      <t xml:space="preserve">1,000</t>
    </r>
    <r>
      <rPr>
        <b val="true"/>
        <sz val="10"/>
        <rFont val="Noto Sans CJK SC"/>
        <family val="2"/>
      </rPr>
      <t xml:space="preserve">명</t>
    </r>
  </si>
  <si>
    <r>
      <rPr>
        <b val="true"/>
        <sz val="10"/>
        <rFont val="Arial"/>
        <family val="0"/>
        <charset val="1"/>
      </rPr>
      <t xml:space="preserve">10,000</t>
    </r>
    <r>
      <rPr>
        <b val="true"/>
        <sz val="10"/>
        <rFont val="Noto Sans CJK SC"/>
        <family val="2"/>
      </rPr>
      <t xml:space="preserve">명</t>
    </r>
  </si>
  <si>
    <r>
      <rPr>
        <b val="true"/>
        <sz val="10"/>
        <rFont val="Arial"/>
        <family val="0"/>
        <charset val="1"/>
      </rPr>
      <t xml:space="preserve">50,000</t>
    </r>
    <r>
      <rPr>
        <b val="true"/>
        <sz val="10"/>
        <rFont val="Noto Sans CJK SC"/>
        <family val="2"/>
      </rPr>
      <t xml:space="preserve">명</t>
    </r>
  </si>
  <si>
    <t xml:space="preserve">사용자당 원가 (₩)</t>
  </si>
  <si>
    <t xml:space="preserve">▶ 핵심 인사이트</t>
  </si>
  <si>
    <t xml:space="preserve">1</t>
  </si>
  <si>
    <t xml:space="preserve">가장 큰 원가는 데이터 전송(egress)</t>
  </si>
  <si>
    <t xml:space="preserve">저장·요청보다 다운로드 전송이 원가의 30~50% 차지</t>
  </si>
  <si>
    <t xml:space="preserve">2</t>
  </si>
  <si>
    <t xml:space="preserve">규모 확대 시 사용자당 원가 감소</t>
  </si>
  <si>
    <t xml:space="preserve">고정비 분산으로 100명 → 10,000명 시 사용자당 원가 50% 감소</t>
  </si>
  <si>
    <t xml:space="preserve">3</t>
  </si>
  <si>
    <r>
      <rPr>
        <b val="true"/>
        <sz val="11"/>
        <rFont val="Arial"/>
        <family val="0"/>
        <charset val="1"/>
      </rPr>
      <t xml:space="preserve">CDN </t>
    </r>
    <r>
      <rPr>
        <b val="true"/>
        <sz val="11"/>
        <rFont val="Noto Sans CJK SC"/>
        <family val="2"/>
      </rPr>
      <t xml:space="preserve">도입은 </t>
    </r>
    <r>
      <rPr>
        <b val="true"/>
        <sz val="11"/>
        <rFont val="Arial"/>
        <family val="0"/>
        <charset val="1"/>
      </rPr>
      <t xml:space="preserve">1,000</t>
    </r>
    <r>
      <rPr>
        <b val="true"/>
        <sz val="11"/>
        <rFont val="Noto Sans CJK SC"/>
        <family val="2"/>
      </rPr>
      <t xml:space="preserve">명부터 필수</t>
    </r>
  </si>
  <si>
    <t xml:space="preserve">전송 원가 50~70% 절감 가능</t>
  </si>
  <si>
    <t xml:space="preserve">4</t>
  </si>
  <si>
    <t xml:space="preserve">프리미엄 무제한 = 위험</t>
  </si>
  <si>
    <t xml:space="preserve">헤비 유저 원가가 프리미엄 매출 초과 가능, 공정 사용 정책 필수</t>
  </si>
  <si>
    <t xml:space="preserve">5</t>
  </si>
  <si>
    <t xml:space="preserve">학기 데이터 특성 활용</t>
  </si>
  <si>
    <t xml:space="preserve">오래된 학기 자료는 Standard-IA로 자동 이동해 저장 원가 45% 절감</t>
  </si>
  <si>
    <t xml:space="preserve">▶ 시트 구성</t>
  </si>
  <si>
    <r>
      <rPr>
        <b val="true"/>
        <sz val="11"/>
        <color rgb="FF1F4E79"/>
        <rFont val="Arial"/>
        <family val="0"/>
        <charset val="1"/>
      </rPr>
      <t xml:space="preserve">1_</t>
    </r>
    <r>
      <rPr>
        <b val="true"/>
        <sz val="11"/>
        <color rgb="FF1F4E79"/>
        <rFont val="Noto Sans CJK SC"/>
        <family val="2"/>
      </rPr>
      <t xml:space="preserve">단가정보</t>
    </r>
  </si>
  <si>
    <r>
      <rPr>
        <sz val="10"/>
        <rFont val="Arial"/>
        <family val="0"/>
        <charset val="1"/>
      </rPr>
      <t xml:space="preserve">AWS S3/CloudFront/</t>
    </r>
    <r>
      <rPr>
        <sz val="10"/>
        <rFont val="Noto Sans CJK SC"/>
        <family val="2"/>
      </rPr>
      <t xml:space="preserve">서버 단가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수정하면 전체 원가 재계산</t>
    </r>
    <r>
      <rPr>
        <sz val="10"/>
        <rFont val="Arial"/>
        <family val="0"/>
        <charset val="1"/>
      </rPr>
      <t xml:space="preserve">)</t>
    </r>
  </si>
  <si>
    <r>
      <rPr>
        <b val="true"/>
        <sz val="11"/>
        <color rgb="FF1F4E79"/>
        <rFont val="Arial"/>
        <family val="0"/>
        <charset val="1"/>
      </rPr>
      <t xml:space="preserve">2_</t>
    </r>
    <r>
      <rPr>
        <b val="true"/>
        <sz val="11"/>
        <color rgb="FF1F4E79"/>
        <rFont val="Noto Sans CJK SC"/>
        <family val="2"/>
      </rPr>
      <t xml:space="preserve">사용자유형</t>
    </r>
  </si>
  <si>
    <t xml:space="preserve">라이트/미디엄/헤비 유저의 사용량 가정 (수정 시 원가 변경)</t>
  </si>
  <si>
    <r>
      <rPr>
        <b val="true"/>
        <sz val="11"/>
        <color rgb="FF1F4E79"/>
        <rFont val="Arial"/>
        <family val="0"/>
        <charset val="1"/>
      </rPr>
      <t xml:space="preserve">3_</t>
    </r>
    <r>
      <rPr>
        <b val="true"/>
        <sz val="11"/>
        <color rgb="FF1F4E79"/>
        <rFont val="Noto Sans CJK SC"/>
        <family val="2"/>
      </rPr>
      <t xml:space="preserve">사용자당원가</t>
    </r>
  </si>
  <si>
    <t xml:space="preserve">사용자 1명당 월 원가 계산</t>
  </si>
  <si>
    <r>
      <rPr>
        <b val="true"/>
        <sz val="11"/>
        <color rgb="FF1F4E79"/>
        <rFont val="Arial"/>
        <family val="0"/>
        <charset val="1"/>
      </rPr>
      <t xml:space="preserve">4_</t>
    </r>
    <r>
      <rPr>
        <b val="true"/>
        <sz val="11"/>
        <color rgb="FF1F4E79"/>
        <rFont val="Noto Sans CJK SC"/>
        <family val="2"/>
      </rPr>
      <t xml:space="preserve">규모별원가</t>
    </r>
  </si>
  <si>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~50,000</t>
    </r>
    <r>
      <rPr>
        <sz val="10"/>
        <rFont val="Noto Sans CJK SC"/>
        <family val="2"/>
      </rPr>
      <t xml:space="preserve">명 사용자 규모별 총 원가</t>
    </r>
  </si>
  <si>
    <r>
      <rPr>
        <b val="true"/>
        <sz val="11"/>
        <color rgb="FF1F4E79"/>
        <rFont val="Arial"/>
        <family val="0"/>
        <charset val="1"/>
      </rPr>
      <t xml:space="preserve">5_CDN</t>
    </r>
    <r>
      <rPr>
        <b val="true"/>
        <sz val="11"/>
        <color rgb="FF1F4E79"/>
        <rFont val="Noto Sans CJK SC"/>
        <family val="2"/>
      </rPr>
      <t xml:space="preserve">효과</t>
    </r>
  </si>
  <si>
    <r>
      <rPr>
        <sz val="10"/>
        <rFont val="Arial"/>
        <family val="0"/>
        <charset val="1"/>
      </rPr>
      <t xml:space="preserve">CloudFront </t>
    </r>
    <r>
      <rPr>
        <sz val="10"/>
        <rFont val="Noto Sans CJK SC"/>
        <family val="2"/>
      </rPr>
      <t xml:space="preserve">도입 시 절감 효과</t>
    </r>
  </si>
  <si>
    <t xml:space="preserve">▶ 셀 색상 안내</t>
  </si>
  <si>
    <t xml:space="preserve">파란색 숫자 = 입력값 (수정 가능)</t>
  </si>
  <si>
    <t xml:space="preserve">검정색 숫자 = 계산식 (자동 계산)</t>
  </si>
  <si>
    <t xml:space="preserve">리튼(Litten) 원가 단가 정보</t>
  </si>
  <si>
    <t xml:space="preserve">환율 (₩/USD)</t>
  </si>
  <si>
    <t xml:space="preserve">가정값 (수시 조정)</t>
  </si>
  <si>
    <r>
      <rPr>
        <b val="true"/>
        <sz val="11"/>
        <color rgb="FFFFFFFF"/>
        <rFont val="Arial"/>
        <family val="0"/>
        <charset val="1"/>
      </rPr>
      <t xml:space="preserve">1. AWS S3 </t>
    </r>
    <r>
      <rPr>
        <b val="true"/>
        <sz val="11"/>
        <color rgb="FFFFFFFF"/>
        <rFont val="Noto Sans CJK SC"/>
        <family val="2"/>
      </rPr>
      <t xml:space="preserve">요금 </t>
    </r>
    <r>
      <rPr>
        <b val="true"/>
        <sz val="11"/>
        <color rgb="FFFFFFFF"/>
        <rFont val="Arial"/>
        <family val="0"/>
        <charset val="1"/>
      </rPr>
      <t xml:space="preserve">(Standard)</t>
    </r>
  </si>
  <si>
    <t xml:space="preserve">항목</t>
  </si>
  <si>
    <t xml:space="preserve">단가 (USD)</t>
  </si>
  <si>
    <t xml:space="preserve">단위</t>
  </si>
  <si>
    <t xml:space="preserve">단가 (₩)</t>
  </si>
  <si>
    <t xml:space="preserve">출처</t>
  </si>
  <si>
    <t xml:space="preserve">저장 (S3 Standard)</t>
  </si>
  <si>
    <r>
      <rPr>
        <sz val="11"/>
        <color theme="1"/>
        <rFont val="Calibri"/>
        <family val="2"/>
        <charset val="1"/>
      </rPr>
      <t xml:space="preserve">GB/</t>
    </r>
    <r>
      <rPr>
        <sz val="11"/>
        <color theme="1"/>
        <rFont val="Noto Sans CJK SC"/>
        <family val="2"/>
      </rPr>
      <t xml:space="preserve">월</t>
    </r>
  </si>
  <si>
    <r>
      <rPr>
        <i val="true"/>
        <sz val="9"/>
        <color rgb="FF808080"/>
        <rFont val="Arial"/>
        <family val="0"/>
        <charset val="1"/>
      </rPr>
      <t xml:space="preserve">AWS </t>
    </r>
    <r>
      <rPr>
        <i val="true"/>
        <sz val="9"/>
        <color rgb="FF808080"/>
        <rFont val="Noto Sans CJK SC"/>
        <family val="2"/>
      </rPr>
      <t xml:space="preserve">공식</t>
    </r>
  </si>
  <si>
    <r>
      <rPr>
        <sz val="11"/>
        <color theme="1"/>
        <rFont val="Calibri"/>
        <family val="2"/>
        <charset val="1"/>
      </rPr>
      <t xml:space="preserve">PUT/COPY/POST/LIST </t>
    </r>
    <r>
      <rPr>
        <sz val="11"/>
        <color theme="1"/>
        <rFont val="Noto Sans CJK SC"/>
        <family val="2"/>
      </rPr>
      <t xml:space="preserve">요청</t>
    </r>
  </si>
  <si>
    <r>
      <rPr>
        <sz val="11"/>
        <color theme="1"/>
        <rFont val="Calibri"/>
        <family val="2"/>
        <charset val="1"/>
      </rPr>
      <t xml:space="preserve">1,000</t>
    </r>
    <r>
      <rPr>
        <sz val="11"/>
        <color theme="1"/>
        <rFont val="Noto Sans CJK SC"/>
        <family val="2"/>
      </rPr>
      <t xml:space="preserve">요청</t>
    </r>
  </si>
  <si>
    <r>
      <rPr>
        <sz val="11"/>
        <color theme="1"/>
        <rFont val="Calibri"/>
        <family val="2"/>
        <charset val="1"/>
      </rPr>
      <t xml:space="preserve">GET/SELECT </t>
    </r>
    <r>
      <rPr>
        <sz val="11"/>
        <color theme="1"/>
        <rFont val="Noto Sans CJK SC"/>
        <family val="2"/>
      </rPr>
      <t xml:space="preserve">요청</t>
    </r>
  </si>
  <si>
    <t xml:space="preserve">데이터 전송 (인터넷, 첫 10TB)</t>
  </si>
  <si>
    <t xml:space="preserve">GB</t>
  </si>
  <si>
    <t xml:space="preserve">데이터 전송 (인터넷, 10~50TB)</t>
  </si>
  <si>
    <r>
      <rPr>
        <sz val="11"/>
        <color theme="1"/>
        <rFont val="Calibri"/>
        <family val="2"/>
        <charset val="1"/>
      </rPr>
      <t xml:space="preserve">S3 Standard-IA </t>
    </r>
    <r>
      <rPr>
        <sz val="11"/>
        <color theme="1"/>
        <rFont val="Noto Sans CJK SC"/>
        <family val="2"/>
      </rPr>
      <t xml:space="preserve">저장</t>
    </r>
  </si>
  <si>
    <r>
      <rPr>
        <sz val="11"/>
        <color theme="1"/>
        <rFont val="Calibri"/>
        <family val="2"/>
        <charset val="1"/>
      </rPr>
      <t xml:space="preserve">S3 Glacier Instant </t>
    </r>
    <r>
      <rPr>
        <sz val="11"/>
        <color theme="1"/>
        <rFont val="Noto Sans CJK SC"/>
        <family val="2"/>
      </rPr>
      <t xml:space="preserve">저장</t>
    </r>
  </si>
  <si>
    <r>
      <rPr>
        <b val="true"/>
        <sz val="11"/>
        <color rgb="FFFFFFFF"/>
        <rFont val="Arial"/>
        <family val="0"/>
        <charset val="1"/>
      </rPr>
      <t xml:space="preserve">2. AWS CloudFront (CDN) </t>
    </r>
    <r>
      <rPr>
        <b val="true"/>
        <sz val="11"/>
        <color rgb="FFFFFFFF"/>
        <rFont val="Noto Sans CJK SC"/>
        <family val="2"/>
      </rPr>
      <t xml:space="preserve">요금</t>
    </r>
  </si>
  <si>
    <r>
      <rPr>
        <sz val="11"/>
        <color theme="1"/>
        <rFont val="Calibri"/>
        <family val="2"/>
        <charset val="1"/>
      </rPr>
      <t xml:space="preserve">CDN </t>
    </r>
    <r>
      <rPr>
        <sz val="11"/>
        <color theme="1"/>
        <rFont val="Noto Sans CJK SC"/>
        <family val="2"/>
      </rPr>
      <t xml:space="preserve">데이터 전송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아시아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첫 </t>
    </r>
    <r>
      <rPr>
        <sz val="11"/>
        <color theme="1"/>
        <rFont val="Calibri"/>
        <family val="2"/>
        <charset val="1"/>
      </rPr>
      <t xml:space="preserve">10TB)</t>
    </r>
  </si>
  <si>
    <r>
      <rPr>
        <sz val="11"/>
        <color theme="1"/>
        <rFont val="Calibri"/>
        <family val="2"/>
        <charset val="1"/>
      </rPr>
      <t xml:space="preserve">CDN HTTP/HTTPS </t>
    </r>
    <r>
      <rPr>
        <sz val="11"/>
        <color theme="1"/>
        <rFont val="Noto Sans CJK SC"/>
        <family val="2"/>
      </rPr>
      <t xml:space="preserve">요청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아시아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</si>
  <si>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10,000</t>
    </r>
    <r>
      <rPr>
        <sz val="11"/>
        <color theme="1"/>
        <rFont val="Noto Sans CJK SC"/>
        <family val="2"/>
      </rPr>
      <t xml:space="preserve">요청</t>
    </r>
  </si>
  <si>
    <r>
      <rPr>
        <b val="true"/>
        <sz val="11"/>
        <color rgb="FFFFFFFF"/>
        <rFont val="Arial"/>
        <family val="0"/>
        <charset val="1"/>
      </rPr>
      <t xml:space="preserve">3. </t>
    </r>
    <r>
      <rPr>
        <b val="true"/>
        <sz val="11"/>
        <color rgb="FFFFFFFF"/>
        <rFont val="Noto Sans CJK SC"/>
        <family val="2"/>
      </rPr>
      <t xml:space="preserve">서버 컴퓨팅 요금</t>
    </r>
  </si>
  <si>
    <t xml:space="preserve">월 요금 (₩)</t>
  </si>
  <si>
    <t xml:space="preserve">사양</t>
  </si>
  <si>
    <t xml:space="preserve">지원 사용자</t>
  </si>
  <si>
    <t xml:space="preserve">초기 서버 (Cafe24 가상)</t>
  </si>
  <si>
    <t xml:space="preserve">1vCPU/1GB</t>
  </si>
  <si>
    <t xml:space="preserve">약 300명</t>
  </si>
  <si>
    <r>
      <rPr>
        <i val="true"/>
        <sz val="9"/>
        <color rgb="FF808080"/>
        <rFont val="Arial"/>
        <family val="0"/>
        <charset val="1"/>
      </rPr>
      <t xml:space="preserve">Cafe24 </t>
    </r>
    <r>
      <rPr>
        <i val="true"/>
        <sz val="9"/>
        <color rgb="FF808080"/>
        <rFont val="Noto Sans CJK SC"/>
        <family val="2"/>
      </rPr>
      <t xml:space="preserve">참조</t>
    </r>
  </si>
  <si>
    <t xml:space="preserve">성장 서버 (AWS EC2 t3.medium)</t>
  </si>
  <si>
    <t xml:space="preserve">2vCPU/4GB</t>
  </si>
  <si>
    <t xml:space="preserve">약 2,000명</t>
  </si>
  <si>
    <r>
      <rPr>
        <i val="true"/>
        <sz val="9"/>
        <color rgb="FF808080"/>
        <rFont val="Arial"/>
        <family val="0"/>
        <charset val="1"/>
      </rPr>
      <t xml:space="preserve">AWS </t>
    </r>
    <r>
      <rPr>
        <i val="true"/>
        <sz val="9"/>
        <color rgb="FF808080"/>
        <rFont val="Noto Sans CJK SC"/>
        <family val="2"/>
      </rPr>
      <t xml:space="preserve">참조</t>
    </r>
  </si>
  <si>
    <t xml:space="preserve">확대 서버 (AWS EC2 t3.xlarge)</t>
  </si>
  <si>
    <t xml:space="preserve">4vCPU/16GB</t>
  </si>
  <si>
    <t xml:space="preserve">약 10,000명</t>
  </si>
  <si>
    <t xml:space="preserve">DB (AWS RDS db.t3.micro)</t>
  </si>
  <si>
    <r>
      <rPr>
        <sz val="11"/>
        <color theme="1"/>
        <rFont val="Calibri"/>
        <family val="2"/>
        <charset val="1"/>
      </rPr>
      <t xml:space="preserve">MySQL </t>
    </r>
    <r>
      <rPr>
        <sz val="11"/>
        <color theme="1"/>
        <rFont val="Noto Sans CJK SC"/>
        <family val="2"/>
      </rPr>
      <t xml:space="preserve">기본</t>
    </r>
  </si>
  <si>
    <t xml:space="preserve">약 1,000명</t>
  </si>
  <si>
    <t xml:space="preserve">사용자 유형별 월 사용량 가정</t>
  </si>
  <si>
    <t xml:space="preserve">리튼 4단계 사이클 기반 사용 패턴 (헤비 유저 실측: 필기66, 녹음6, 음성35, 문서3, 영상20, 사진3)</t>
  </si>
  <si>
    <t xml:space="preserve">월 콘텐츠 생성 개수 (건)</t>
  </si>
  <si>
    <t xml:space="preserve">메모+녹음+필기+파일 합계</t>
  </si>
  <si>
    <t xml:space="preserve">파일 크기 평균 (MB)</t>
  </si>
  <si>
    <t xml:space="preserve">녹음·영상 포함 가중평균</t>
  </si>
  <si>
    <t xml:space="preserve">월 저장 증가량 (GB)</t>
  </si>
  <si>
    <t xml:space="preserve">개수 × 크기 / 1024</t>
  </si>
  <si>
    <t xml:space="preserve">누적 저장량 (GB)</t>
  </si>
  <si>
    <r>
      <rPr>
        <i val="true"/>
        <sz val="9"/>
        <color rgb="FF808080"/>
        <rFont val="Arial"/>
        <family val="0"/>
        <charset val="1"/>
      </rPr>
      <t xml:space="preserve">3~6</t>
    </r>
    <r>
      <rPr>
        <i val="true"/>
        <sz val="9"/>
        <color rgb="FF808080"/>
        <rFont val="Noto Sans CJK SC"/>
        <family val="2"/>
      </rPr>
      <t xml:space="preserve">개월 누적 가정</t>
    </r>
  </si>
  <si>
    <t xml:space="preserve">월 PUT 요청 수</t>
  </si>
  <si>
    <t xml:space="preserve">업로드+동기화</t>
  </si>
  <si>
    <t xml:space="preserve">월 GET 요청 수</t>
  </si>
  <si>
    <t xml:space="preserve">열람+동기화</t>
  </si>
  <si>
    <t xml:space="preserve">월 LIST 요청 수</t>
  </si>
  <si>
    <t xml:space="preserve">앱 실행·목록 조회</t>
  </si>
  <si>
    <t xml:space="preserve">월 다운로드량 (GB)</t>
  </si>
  <si>
    <t xml:space="preserve">재생·미리보기·재동기화</t>
  </si>
  <si>
    <t xml:space="preserve">월 AI API 사용 (USD)</t>
  </si>
  <si>
    <r>
      <rPr>
        <i val="true"/>
        <sz val="9"/>
        <color rgb="FF808080"/>
        <rFont val="Arial"/>
        <family val="0"/>
        <charset val="1"/>
      </rPr>
      <t xml:space="preserve">STT+</t>
    </r>
    <r>
      <rPr>
        <i val="true"/>
        <sz val="9"/>
        <color rgb="FF808080"/>
        <rFont val="Noto Sans CJK SC"/>
        <family val="2"/>
      </rPr>
      <t xml:space="preserve">요약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Noto Sans CJK SC"/>
        <family val="2"/>
      </rPr>
      <t xml:space="preserve">번역</t>
    </r>
  </si>
  <si>
    <t xml:space="preserve">모든 값은 시트 '1_단가정보'와 '2_사용자유형'을 참조합니다</t>
  </si>
  <si>
    <t xml:space="preserve">원가 항목</t>
  </si>
  <si>
    <t xml:space="preserve">라이트 (USD)</t>
  </si>
  <si>
    <t xml:space="preserve">미디엄 (USD)</t>
  </si>
  <si>
    <t xml:space="preserve">헤비 (USD)</t>
  </si>
  <si>
    <t xml:space="preserve">라이트 (₩)</t>
  </si>
  <si>
    <t xml:space="preserve">미디엄 (₩)</t>
  </si>
  <si>
    <t xml:space="preserve">헤비 (₩)</t>
  </si>
  <si>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저장 </t>
    </r>
    <r>
      <rPr>
        <sz val="11"/>
        <color theme="1"/>
        <rFont val="Calibri"/>
        <family val="2"/>
        <charset val="1"/>
      </rPr>
      <t xml:space="preserve">(Standard)</t>
    </r>
  </si>
  <si>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요청 </t>
    </r>
    <r>
      <rPr>
        <sz val="11"/>
        <color theme="1"/>
        <rFont val="Calibri"/>
        <family val="2"/>
        <charset val="1"/>
      </rPr>
      <t xml:space="preserve">(PUT/GET/LIST)</t>
    </r>
  </si>
  <si>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데이터 전송</t>
    </r>
  </si>
  <si>
    <r>
      <rPr>
        <sz val="11"/>
        <color theme="1"/>
        <rFont val="Calibri"/>
        <family val="2"/>
        <charset val="1"/>
      </rPr>
      <t xml:space="preserve">AI API (STT/</t>
    </r>
    <r>
      <rPr>
        <sz val="11"/>
        <color theme="1"/>
        <rFont val="Noto Sans CJK SC"/>
        <family val="2"/>
      </rPr>
      <t xml:space="preserve">요약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번역</t>
    </r>
    <r>
      <rPr>
        <sz val="11"/>
        <color theme="1"/>
        <rFont val="Calibri"/>
        <family val="2"/>
        <charset val="1"/>
      </rPr>
      <t xml:space="preserve">)</t>
    </r>
  </si>
  <si>
    <t xml:space="preserve">서버 컴퓨팅 분담</t>
  </si>
  <si>
    <t xml:space="preserve">직접 변동비 소계</t>
  </si>
  <si>
    <t xml:space="preserve">※ 참고사항</t>
  </si>
  <si>
    <t xml:space="preserve">• 위 원가는 CloudFront 미적용 기준. CDN 도입 시 데이터 전송 50~70% 절감 가능</t>
  </si>
  <si>
    <t xml:space="preserve">• 서버 컴퓨팅 분담은 사용자 1,000명 기준 추정 (사용자 증가 시 감소)</t>
  </si>
  <si>
    <t xml:space="preserve">• 결제 수수료(15~30%)와 고정비(개발·마케팅·CS)는 별도</t>
  </si>
  <si>
    <r>
      <rPr>
        <i val="true"/>
        <sz val="9"/>
        <rFont val="Arial"/>
        <family val="0"/>
        <charset val="1"/>
      </rPr>
      <t xml:space="preserve">• AI API </t>
    </r>
    <r>
      <rPr>
        <i val="true"/>
        <sz val="9"/>
        <rFont val="Noto Sans CJK SC"/>
        <family val="2"/>
      </rPr>
      <t xml:space="preserve">원가는 실측 데이터 기반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Noto Sans CJK SC"/>
        <family val="2"/>
      </rPr>
      <t xml:space="preserve">사용 패턴에 따라 변동 가능</t>
    </r>
  </si>
  <si>
    <t xml:space="preserve">사용자 규모별 월 총 원가</t>
  </si>
  <si>
    <t xml:space="preserve">규모 확장 시 원가 구조 변화 및 인프라 단계 확인용</t>
  </si>
  <si>
    <r>
      <rPr>
        <b val="true"/>
        <sz val="10"/>
        <rFont val="Arial"/>
        <family val="0"/>
        <charset val="1"/>
      </rPr>
      <t xml:space="preserve">500</t>
    </r>
    <r>
      <rPr>
        <b val="true"/>
        <sz val="10"/>
        <rFont val="Noto Sans CJK SC"/>
        <family val="2"/>
      </rPr>
      <t xml:space="preserve">명</t>
    </r>
  </si>
  <si>
    <r>
      <rPr>
        <b val="true"/>
        <sz val="10"/>
        <rFont val="Arial"/>
        <family val="0"/>
        <charset val="1"/>
      </rPr>
      <t xml:space="preserve">5,000</t>
    </r>
    <r>
      <rPr>
        <b val="true"/>
        <sz val="10"/>
        <rFont val="Noto Sans CJK SC"/>
        <family val="2"/>
      </rPr>
      <t xml:space="preserve">명</t>
    </r>
  </si>
  <si>
    <t xml:space="preserve">라이트 유저 (60%)</t>
  </si>
  <si>
    <t xml:space="preserve">미디엄 유저 (30%)</t>
  </si>
  <si>
    <t xml:space="preserve">헤비 유저 (10%)</t>
  </si>
  <si>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저장 </t>
    </r>
    <r>
      <rPr>
        <sz val="11"/>
        <color theme="1"/>
        <rFont val="Calibri"/>
        <family val="2"/>
        <charset val="1"/>
      </rPr>
      <t xml:space="preserve">(₩)</t>
    </r>
  </si>
  <si>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요청 </t>
    </r>
    <r>
      <rPr>
        <sz val="11"/>
        <color theme="1"/>
        <rFont val="Calibri"/>
        <family val="2"/>
        <charset val="1"/>
      </rPr>
      <t xml:space="preserve">(₩)</t>
    </r>
  </si>
  <si>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데이터 전송 </t>
    </r>
    <r>
      <rPr>
        <sz val="11"/>
        <color theme="1"/>
        <rFont val="Calibri"/>
        <family val="2"/>
        <charset val="1"/>
      </rPr>
      <t xml:space="preserve">(₩)</t>
    </r>
  </si>
  <si>
    <t xml:space="preserve">AI API (₩)</t>
  </si>
  <si>
    <t xml:space="preserve">서버·DB 고정비 (₩)</t>
  </si>
  <si>
    <t xml:space="preserve">월 총 원가 (₩)</t>
  </si>
  <si>
    <t xml:space="preserve">사용자당 평균 (₩)</t>
  </si>
  <si>
    <t xml:space="preserve">▶ 권장 인프라 단계</t>
  </si>
  <si>
    <r>
      <rPr>
        <sz val="10"/>
        <rFont val="Arial"/>
        <family val="0"/>
        <charset val="1"/>
      </rPr>
      <t xml:space="preserve">• 100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: Cafe24 </t>
    </r>
    <r>
      <rPr>
        <sz val="10"/>
        <rFont val="Noto Sans CJK SC"/>
        <family val="2"/>
      </rPr>
      <t xml:space="preserve">초기 서버</t>
    </r>
    <r>
      <rPr>
        <sz val="10"/>
        <rFont val="Arial"/>
        <family val="0"/>
        <charset val="1"/>
      </rPr>
      <t xml:space="preserve">, S3 Standard, CDN </t>
    </r>
    <r>
      <rPr>
        <sz val="10"/>
        <rFont val="Noto Sans CJK SC"/>
        <family val="2"/>
      </rPr>
      <t xml:space="preserve">없음</t>
    </r>
  </si>
  <si>
    <r>
      <rPr>
        <sz val="10"/>
        <rFont val="Arial"/>
        <family val="0"/>
        <charset val="1"/>
      </rPr>
      <t xml:space="preserve">• 500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동일 </t>
    </r>
    <r>
      <rPr>
        <sz val="10"/>
        <rFont val="Arial"/>
        <family val="0"/>
        <charset val="1"/>
      </rPr>
      <t xml:space="preserve">+ DB </t>
    </r>
    <r>
      <rPr>
        <sz val="10"/>
        <rFont val="Noto Sans CJK SC"/>
        <family val="2"/>
      </rPr>
      <t xml:space="preserve">별도 검토</t>
    </r>
  </si>
  <si>
    <r>
      <rPr>
        <sz val="10"/>
        <rFont val="Arial"/>
        <family val="0"/>
        <charset val="1"/>
      </rPr>
      <t xml:space="preserve">• 1,000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: AWS EC2 t3.medium </t>
    </r>
    <r>
      <rPr>
        <sz val="10"/>
        <rFont val="Noto Sans CJK SC"/>
        <family val="2"/>
      </rPr>
      <t xml:space="preserve">전환</t>
    </r>
    <r>
      <rPr>
        <sz val="10"/>
        <rFont val="Arial"/>
        <family val="0"/>
        <charset val="1"/>
      </rPr>
      <t xml:space="preserve">, RDS </t>
    </r>
    <r>
      <rPr>
        <sz val="10"/>
        <rFont val="Noto Sans CJK SC"/>
        <family val="2"/>
      </rPr>
      <t xml:space="preserve">도입</t>
    </r>
    <r>
      <rPr>
        <sz val="10"/>
        <rFont val="Arial"/>
        <family val="0"/>
        <charset val="1"/>
      </rPr>
      <t xml:space="preserve">, CloudFront </t>
    </r>
    <r>
      <rPr>
        <sz val="10"/>
        <rFont val="Noto Sans CJK SC"/>
        <family val="2"/>
      </rPr>
      <t xml:space="preserve">검토</t>
    </r>
  </si>
  <si>
    <r>
      <rPr>
        <sz val="10"/>
        <rFont val="Arial"/>
        <family val="0"/>
        <charset val="1"/>
      </rPr>
      <t xml:space="preserve">• 5,000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: CloudFront </t>
    </r>
    <r>
      <rPr>
        <sz val="10"/>
        <rFont val="Noto Sans CJK SC"/>
        <family val="2"/>
      </rPr>
      <t xml:space="preserve">필수</t>
    </r>
    <r>
      <rPr>
        <sz val="10"/>
        <rFont val="Arial"/>
        <family val="0"/>
        <charset val="1"/>
      </rPr>
      <t xml:space="preserve">, S3 </t>
    </r>
    <r>
      <rPr>
        <sz val="10"/>
        <rFont val="Noto Sans CJK SC"/>
        <family val="2"/>
      </rPr>
      <t xml:space="preserve">계층형 스토리지 시작</t>
    </r>
  </si>
  <si>
    <r>
      <rPr>
        <sz val="10"/>
        <rFont val="Arial"/>
        <family val="0"/>
        <charset val="1"/>
      </rPr>
      <t xml:space="preserve">• 10,000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: AWS EC2 t3.xlarge, </t>
    </r>
    <r>
      <rPr>
        <sz val="10"/>
        <rFont val="Noto Sans CJK SC"/>
        <family val="2"/>
      </rPr>
      <t xml:space="preserve">오래된 데이터 </t>
    </r>
    <r>
      <rPr>
        <sz val="10"/>
        <rFont val="Arial"/>
        <family val="0"/>
        <charset val="1"/>
      </rPr>
      <t xml:space="preserve">Standard-IA </t>
    </r>
    <r>
      <rPr>
        <sz val="10"/>
        <rFont val="Noto Sans CJK SC"/>
        <family val="2"/>
      </rPr>
      <t xml:space="preserve">이동</t>
    </r>
  </si>
  <si>
    <r>
      <rPr>
        <sz val="10"/>
        <rFont val="Arial"/>
        <family val="0"/>
        <charset val="1"/>
      </rPr>
      <t xml:space="preserve">• 50,000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: Auto Scaling, ELB, Multi-AZ, Enterprise </t>
    </r>
    <r>
      <rPr>
        <sz val="10"/>
        <rFont val="Noto Sans CJK SC"/>
        <family val="2"/>
      </rPr>
      <t xml:space="preserve">계약 협상</t>
    </r>
  </si>
  <si>
    <r>
      <rPr>
        <b val="true"/>
        <sz val="14"/>
        <rFont val="Arial"/>
        <family val="0"/>
        <charset val="1"/>
      </rPr>
      <t xml:space="preserve">CloudFront CDN </t>
    </r>
    <r>
      <rPr>
        <b val="true"/>
        <sz val="14"/>
        <rFont val="Noto Sans CJK SC"/>
        <family val="2"/>
      </rPr>
      <t xml:space="preserve">적용 전후 원가 비교</t>
    </r>
  </si>
  <si>
    <r>
      <rPr>
        <i val="true"/>
        <sz val="9"/>
        <color rgb="FF808080"/>
        <rFont val="Arial"/>
        <family val="0"/>
        <charset val="1"/>
      </rPr>
      <t xml:space="preserve">CDN </t>
    </r>
    <r>
      <rPr>
        <i val="true"/>
        <sz val="9"/>
        <color rgb="FF808080"/>
        <rFont val="Noto Sans CJK SC"/>
        <family val="2"/>
      </rPr>
      <t xml:space="preserve">캐시율 가정</t>
    </r>
    <r>
      <rPr>
        <i val="true"/>
        <sz val="9"/>
        <color rgb="FF808080"/>
        <rFont val="Arial"/>
        <family val="0"/>
        <charset val="1"/>
      </rPr>
      <t xml:space="preserve">: 70% (</t>
    </r>
    <r>
      <rPr>
        <i val="true"/>
        <sz val="9"/>
        <color rgb="FF808080"/>
        <rFont val="Noto Sans CJK SC"/>
        <family val="2"/>
      </rPr>
      <t xml:space="preserve">자주 접근하는 콘텐츠가 캐시에서 응답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</si>
  <si>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CDN </t>
    </r>
    <r>
      <rPr>
        <sz val="11"/>
        <color theme="1"/>
        <rFont val="Noto Sans CJK SC"/>
        <family val="2"/>
      </rPr>
      <t xml:space="preserve">도입 시 전송 원가 절감률</t>
    </r>
  </si>
  <si>
    <r>
      <rPr>
        <b val="true"/>
        <sz val="10"/>
        <rFont val="Arial"/>
        <family val="0"/>
        <charset val="1"/>
      </rPr>
      <t xml:space="preserve">▶ CDN </t>
    </r>
    <r>
      <rPr>
        <b val="true"/>
        <sz val="10"/>
        <rFont val="Noto Sans CJK SC"/>
        <family val="2"/>
      </rPr>
      <t xml:space="preserve">미적용 시</t>
    </r>
  </si>
  <si>
    <r>
      <rPr>
        <sz val="11"/>
        <color theme="1"/>
        <rFont val="Calibri"/>
        <family val="2"/>
        <charset val="1"/>
      </rPr>
      <t xml:space="preserve">S3 </t>
    </r>
    <r>
      <rPr>
        <sz val="11"/>
        <color theme="1"/>
        <rFont val="Noto Sans CJK SC"/>
        <family val="2"/>
      </rPr>
      <t xml:space="preserve">데이터 전송 원가</t>
    </r>
  </si>
  <si>
    <r>
      <rPr>
        <b val="true"/>
        <sz val="10"/>
        <rFont val="Arial"/>
        <family val="0"/>
        <charset val="1"/>
      </rPr>
      <t xml:space="preserve">▶ CDN </t>
    </r>
    <r>
      <rPr>
        <b val="true"/>
        <sz val="10"/>
        <rFont val="Noto Sans CJK SC"/>
        <family val="2"/>
      </rPr>
      <t xml:space="preserve">적용 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실무 절감률 </t>
    </r>
    <r>
      <rPr>
        <b val="true"/>
        <sz val="10"/>
        <rFont val="Arial"/>
        <family val="0"/>
        <charset val="1"/>
      </rPr>
      <t xml:space="preserve">40% </t>
    </r>
    <r>
      <rPr>
        <b val="true"/>
        <sz val="10"/>
        <rFont val="Noto Sans CJK SC"/>
        <family val="2"/>
      </rPr>
      <t xml:space="preserve">가정</t>
    </r>
    <r>
      <rPr>
        <b val="true"/>
        <sz val="10"/>
        <rFont val="Arial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</si>
  <si>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CDN </t>
    </r>
    <r>
      <rPr>
        <sz val="11"/>
        <color theme="1"/>
        <rFont val="Noto Sans CJK SC"/>
        <family val="2"/>
      </rPr>
      <t xml:space="preserve">적용 후 전송 원가</t>
    </r>
  </si>
  <si>
    <r>
      <rPr>
        <b val="true"/>
        <sz val="11"/>
        <rFont val="Arial"/>
        <family val="0"/>
        <charset val="1"/>
      </rPr>
      <t xml:space="preserve">CDN </t>
    </r>
    <r>
      <rPr>
        <b val="true"/>
        <sz val="11"/>
        <rFont val="Noto Sans CJK SC"/>
        <family val="2"/>
      </rPr>
      <t xml:space="preserve">적용 시 총 전송 원가</t>
    </r>
  </si>
  <si>
    <t xml:space="preserve">월 절감액</t>
  </si>
  <si>
    <t xml:space="preserve">절감률</t>
  </si>
  <si>
    <t xml:space="preserve">▶ 결론</t>
  </si>
  <si>
    <t xml:space="preserve">• 사용자 1,000명 이상에서 CDN 도입 시 명확한 절감 효과</t>
  </si>
  <si>
    <t xml:space="preserve">• 캐시율이 높을수록(자주 열람되는 콘텐츠) 효과 커짐</t>
  </si>
  <si>
    <t xml:space="preserve">• 학기 자료 특성상 시험 기간 반복 열람 → CDN 효과 큼</t>
  </si>
  <si>
    <r>
      <rPr>
        <sz val="10"/>
        <rFont val="Arial"/>
        <family val="0"/>
        <charset val="1"/>
      </rPr>
      <t xml:space="preserve">• CDN </t>
    </r>
    <r>
      <rPr>
        <sz val="10"/>
        <rFont val="Noto Sans CJK SC"/>
        <family val="2"/>
      </rPr>
      <t xml:space="preserve">자체 요금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요청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설정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은 별도이나 절감액이 훨씬 큼</t>
    </r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</si>
</sst>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₩#,##0"/>
    <numFmt numFmtId="166" formatCode="\$0.00000"/>
    <numFmt numFmtId="167" formatCode="\₩#,##0.00"/>
    <numFmt numFmtId="168" formatCode="#,##0"/>
    <numFmt numFmtId="169" formatCode="0.00"/>
    <numFmt numFmtId="170" formatCode="\$0.0000"/>
    <numFmt numFmtId="171" formatCode="0%"/>
    <numFmt numFmtId="172" formatCode="0.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Noto Sans CJK SC"/>
      <family val="2"/>
      <charset val="1"/>
    </font>
    <font>
      <i val="true"/>
      <sz val="9"/>
      <color rgb="FF808080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1"/>
      <color theme="1"/>
      <name val="Noto Sans CJK SC"/>
      <family val="2"/>
      <charset val="1"/>
    </font>
    <font>
      <b val="true"/>
      <sz val="11"/>
      <name val="Arial"/>
      <family val="0"/>
      <charset val="1"/>
    </font>
    <font>
      <sz val="11"/>
      <color theme="1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color rgb="FF1F4E79"/>
      <name val="Arial"/>
      <family val="0"/>
      <charset val="1"/>
    </font>
    <font>
      <b val="true"/>
      <sz val="11"/>
      <name val="Noto Sans CJK SC"/>
      <family val="2"/>
      <charset val="1"/>
    </font>
    <font>
      <sz val="10"/>
      <name val="Noto Sans CJK SC"/>
      <family val="2"/>
      <charset val="1"/>
    </font>
    <font>
      <b val="true"/>
      <sz val="11"/>
      <name val="Noto Sans CJK SC"/>
      <family val="2"/>
    </font>
    <font>
      <b val="true"/>
      <sz val="11"/>
      <color rgb="FF1F4E79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sz val="9"/>
      <color rgb="FF0000FF"/>
      <name val="Noto Sans CJK SC"/>
      <family val="2"/>
      <charset val="1"/>
    </font>
    <font>
      <sz val="9"/>
      <color rgb="FF000000"/>
      <name val="Noto Sans CJK SC"/>
      <family val="2"/>
      <charset val="1"/>
    </font>
    <font>
      <b val="true"/>
      <sz val="14"/>
      <name val="Noto Sans CJK SC"/>
      <family val="2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i val="true"/>
      <sz val="9"/>
      <color rgb="FF808080"/>
      <name val="Arial"/>
      <family val="0"/>
      <charset val="1"/>
    </font>
    <font>
      <i val="true"/>
      <sz val="9"/>
      <color rgb="FF808080"/>
      <name val="Noto Sans CJK SC"/>
      <family val="2"/>
    </font>
    <font>
      <sz val="10"/>
      <color rgb="FF000000"/>
      <name val="Arial"/>
      <family val="0"/>
      <charset val="1"/>
    </font>
    <font>
      <i val="true"/>
      <sz val="9"/>
      <name val="Noto Sans CJK SC"/>
      <family val="2"/>
      <charset val="1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1F4E79"/>
        <bgColor rgb="FF00336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5"/>
    <col collapsed="false" customWidth="true" hidden="false" outlineLevel="0" max="4" min="3" style="1" width="20"/>
    <col collapsed="false" customWidth="true" hidden="false" outlineLevel="0" max="5" min="5" style="1" width="25"/>
  </cols>
  <sheetData>
    <row r="1" customFormat="false" ht="23.2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6.5" hidden="false" customHeight="true" outlineLevel="0" collapsed="false">
      <c r="A6" s="6" t="s">
        <v>8</v>
      </c>
      <c r="B6" s="7" t="n">
        <f aca="false">3_사용자당원가!E11</f>
        <v>837.655</v>
      </c>
      <c r="C6" s="7" t="n">
        <f aca="false">3_사용자당원가!F11</f>
        <v>2992.591</v>
      </c>
      <c r="D6" s="7" t="n">
        <f aca="false">3_사용자당원가!G11</f>
        <v>8723.155</v>
      </c>
      <c r="E6" s="8" t="s">
        <v>9</v>
      </c>
    </row>
    <row r="8" customFormat="false" ht="15" hidden="false" customHeight="true" outlineLevel="0" collapsed="false">
      <c r="A8" s="4" t="s">
        <v>10</v>
      </c>
      <c r="B8" s="4"/>
      <c r="C8" s="4"/>
      <c r="D8" s="4"/>
      <c r="E8" s="4"/>
    </row>
    <row r="9" customFormat="false" ht="15" hidden="false" customHeight="true" outlineLevel="0" collapsed="false">
      <c r="A9" s="5" t="s">
        <v>11</v>
      </c>
      <c r="B9" s="9" t="s">
        <v>12</v>
      </c>
      <c r="C9" s="9" t="s">
        <v>13</v>
      </c>
      <c r="D9" s="9" t="s">
        <v>14</v>
      </c>
      <c r="E9" s="9" t="s">
        <v>15</v>
      </c>
    </row>
    <row r="10" customFormat="false" ht="16.5" hidden="false" customHeight="true" outlineLevel="0" collapsed="false">
      <c r="A10" s="6" t="s">
        <v>16</v>
      </c>
      <c r="B10" s="10" t="n">
        <f aca="false">4_규모별원가!B16</f>
        <v>2320.6858</v>
      </c>
      <c r="C10" s="10" t="n">
        <f aca="false">4_규모별원가!D16</f>
        <v>2100.6858</v>
      </c>
      <c r="D10" s="10" t="n">
        <f aca="false">4_규모별원가!F16</f>
        <v>2068.6858</v>
      </c>
      <c r="E10" s="10" t="n">
        <f aca="false">4_규모별원가!G16</f>
        <v>2060.6858</v>
      </c>
    </row>
    <row r="12" customFormat="false" ht="15" hidden="false" customHeight="true" outlineLevel="0" collapsed="false">
      <c r="A12" s="4" t="s">
        <v>17</v>
      </c>
      <c r="B12" s="4"/>
      <c r="C12" s="4"/>
      <c r="D12" s="4"/>
      <c r="E12" s="4"/>
    </row>
    <row r="13" customFormat="false" ht="16.5" hidden="false" customHeight="true" outlineLevel="0" collapsed="false">
      <c r="A13" s="11" t="s">
        <v>18</v>
      </c>
      <c r="B13" s="12" t="s">
        <v>19</v>
      </c>
      <c r="C13" s="13" t="s">
        <v>20</v>
      </c>
      <c r="D13" s="13"/>
      <c r="E13" s="13"/>
    </row>
    <row r="14" customFormat="false" ht="15" hidden="false" customHeight="true" outlineLevel="0" collapsed="false">
      <c r="A14" s="11" t="s">
        <v>21</v>
      </c>
      <c r="B14" s="12" t="s">
        <v>22</v>
      </c>
      <c r="C14" s="13" t="s">
        <v>23</v>
      </c>
      <c r="D14" s="13"/>
      <c r="E14" s="13"/>
    </row>
    <row r="15" customFormat="false" ht="16.5" hidden="false" customHeight="true" outlineLevel="0" collapsed="false">
      <c r="A15" s="11" t="s">
        <v>24</v>
      </c>
      <c r="B15" s="14" t="s">
        <v>25</v>
      </c>
      <c r="C15" s="13" t="s">
        <v>26</v>
      </c>
      <c r="D15" s="13"/>
      <c r="E15" s="13"/>
    </row>
    <row r="16" customFormat="false" ht="16.5" hidden="false" customHeight="true" outlineLevel="0" collapsed="false">
      <c r="A16" s="11" t="s">
        <v>27</v>
      </c>
      <c r="B16" s="12" t="s">
        <v>28</v>
      </c>
      <c r="C16" s="13" t="s">
        <v>29</v>
      </c>
      <c r="D16" s="13"/>
      <c r="E16" s="13"/>
    </row>
    <row r="17" customFormat="false" ht="15" hidden="false" customHeight="true" outlineLevel="0" collapsed="false">
      <c r="A17" s="11" t="s">
        <v>30</v>
      </c>
      <c r="B17" s="12" t="s">
        <v>31</v>
      </c>
      <c r="C17" s="13" t="s">
        <v>32</v>
      </c>
      <c r="D17" s="13"/>
      <c r="E17" s="13"/>
    </row>
    <row r="19" customFormat="false" ht="15" hidden="false" customHeight="true" outlineLevel="0" collapsed="false">
      <c r="A19" s="4" t="s">
        <v>33</v>
      </c>
      <c r="B19" s="4"/>
      <c r="C19" s="4"/>
      <c r="D19" s="4"/>
      <c r="E19" s="4"/>
    </row>
    <row r="20" customFormat="false" ht="16.5" hidden="false" customHeight="true" outlineLevel="0" collapsed="false">
      <c r="A20" s="15" t="s">
        <v>34</v>
      </c>
      <c r="B20" s="16" t="s">
        <v>35</v>
      </c>
      <c r="C20" s="16"/>
      <c r="D20" s="16"/>
      <c r="E20" s="16"/>
    </row>
    <row r="21" customFormat="false" ht="16.5" hidden="false" customHeight="true" outlineLevel="0" collapsed="false">
      <c r="A21" s="15" t="s">
        <v>36</v>
      </c>
      <c r="B21" s="13" t="s">
        <v>37</v>
      </c>
      <c r="C21" s="13"/>
      <c r="D21" s="13"/>
      <c r="E21" s="13"/>
    </row>
    <row r="22" customFormat="false" ht="16.5" hidden="false" customHeight="true" outlineLevel="0" collapsed="false">
      <c r="A22" s="15" t="s">
        <v>38</v>
      </c>
      <c r="B22" s="13" t="s">
        <v>39</v>
      </c>
      <c r="C22" s="13"/>
      <c r="D22" s="13"/>
      <c r="E22" s="13"/>
    </row>
    <row r="23" customFormat="false" ht="16.5" hidden="false" customHeight="true" outlineLevel="0" collapsed="false">
      <c r="A23" s="15" t="s">
        <v>40</v>
      </c>
      <c r="B23" s="16" t="s">
        <v>41</v>
      </c>
      <c r="C23" s="16"/>
      <c r="D23" s="16"/>
      <c r="E23" s="16"/>
    </row>
    <row r="24" customFormat="false" ht="16.5" hidden="false" customHeight="true" outlineLevel="0" collapsed="false">
      <c r="A24" s="15" t="s">
        <v>42</v>
      </c>
      <c r="B24" s="16" t="s">
        <v>43</v>
      </c>
      <c r="C24" s="16"/>
      <c r="D24" s="16"/>
      <c r="E24" s="16"/>
    </row>
    <row r="26" customFormat="false" ht="15" hidden="false" customHeight="true" outlineLevel="0" collapsed="false">
      <c r="A26" s="17" t="s">
        <v>44</v>
      </c>
    </row>
    <row r="27" customFormat="false" ht="15" hidden="false" customHeight="true" outlineLevel="0" collapsed="false">
      <c r="A27" s="18" t="s">
        <v>45</v>
      </c>
    </row>
    <row r="28" customFormat="false" ht="15" hidden="false" customHeight="true" outlineLevel="0" collapsed="false">
      <c r="A28" s="19" t="s">
        <v>46</v>
      </c>
    </row>
  </sheetData>
  <mergeCells count="15">
    <mergeCell ref="A1:E1"/>
    <mergeCell ref="A4:E4"/>
    <mergeCell ref="A8:E8"/>
    <mergeCell ref="A12:E12"/>
    <mergeCell ref="C13:E13"/>
    <mergeCell ref="C14:E14"/>
    <mergeCell ref="C15:E15"/>
    <mergeCell ref="C16:E16"/>
    <mergeCell ref="C17:E17"/>
    <mergeCell ref="A19:E19"/>
    <mergeCell ref="B20:E20"/>
    <mergeCell ref="B21:E21"/>
    <mergeCell ref="B22:E22"/>
    <mergeCell ref="B23:E23"/>
    <mergeCell ref="B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20"/>
    <col collapsed="false" customWidth="true" hidden="false" outlineLevel="0" max="4" min="4" style="1" width="15"/>
    <col collapsed="false" customWidth="true" hidden="false" outlineLevel="0" max="5" min="5" style="1" width="25"/>
  </cols>
  <sheetData>
    <row r="1" customFormat="false" ht="21" hidden="false" customHeight="true" outlineLevel="0" collapsed="false">
      <c r="A1" s="20" t="s">
        <v>47</v>
      </c>
      <c r="B1" s="20"/>
      <c r="C1" s="20"/>
      <c r="D1" s="20"/>
      <c r="E1" s="20"/>
    </row>
    <row r="3" customFormat="false" ht="15" hidden="false" customHeight="true" outlineLevel="0" collapsed="false">
      <c r="A3" s="17" t="s">
        <v>48</v>
      </c>
      <c r="B3" s="21" t="n">
        <v>1400</v>
      </c>
      <c r="C3" s="3" t="s">
        <v>49</v>
      </c>
    </row>
    <row r="5" customFormat="false" ht="16.5" hidden="false" customHeight="true" outlineLevel="0" collapsed="false">
      <c r="A5" s="22" t="s">
        <v>50</v>
      </c>
      <c r="B5" s="22"/>
      <c r="C5" s="22"/>
      <c r="D5" s="22"/>
      <c r="E5" s="22"/>
    </row>
    <row r="6" customFormat="false" ht="15" hidden="false" customHeight="true" outlineLevel="0" collapsed="false">
      <c r="A6" s="23" t="s">
        <v>51</v>
      </c>
      <c r="B6" s="23" t="s">
        <v>52</v>
      </c>
      <c r="C6" s="23" t="s">
        <v>53</v>
      </c>
      <c r="D6" s="23" t="s">
        <v>54</v>
      </c>
      <c r="E6" s="23" t="s">
        <v>55</v>
      </c>
    </row>
    <row r="7" customFormat="false" ht="16.5" hidden="false" customHeight="true" outlineLevel="0" collapsed="false">
      <c r="A7" s="6" t="s">
        <v>56</v>
      </c>
      <c r="B7" s="24" t="n">
        <v>0.025</v>
      </c>
      <c r="C7" s="8" t="s">
        <v>57</v>
      </c>
      <c r="D7" s="25" t="n">
        <f aca="false">B7*$B$3</f>
        <v>35</v>
      </c>
      <c r="E7" s="26" t="s">
        <v>58</v>
      </c>
    </row>
    <row r="8" customFormat="false" ht="16.5" hidden="false" customHeight="true" outlineLevel="0" collapsed="false">
      <c r="A8" s="8" t="s">
        <v>59</v>
      </c>
      <c r="B8" s="24" t="n">
        <v>0.0045</v>
      </c>
      <c r="C8" s="8" t="s">
        <v>60</v>
      </c>
      <c r="D8" s="25" t="n">
        <f aca="false">B8*$B$3</f>
        <v>6.3</v>
      </c>
      <c r="E8" s="26" t="s">
        <v>58</v>
      </c>
    </row>
    <row r="9" customFormat="false" ht="16.5" hidden="false" customHeight="true" outlineLevel="0" collapsed="false">
      <c r="A9" s="8" t="s">
        <v>61</v>
      </c>
      <c r="B9" s="24" t="n">
        <v>0.00035</v>
      </c>
      <c r="C9" s="8" t="s">
        <v>60</v>
      </c>
      <c r="D9" s="25" t="n">
        <f aca="false">B9*$B$3</f>
        <v>0.49</v>
      </c>
      <c r="E9" s="26" t="s">
        <v>58</v>
      </c>
    </row>
    <row r="10" customFormat="false" ht="16.5" hidden="false" customHeight="true" outlineLevel="0" collapsed="false">
      <c r="A10" s="6" t="s">
        <v>62</v>
      </c>
      <c r="B10" s="24" t="n">
        <v>0.09</v>
      </c>
      <c r="C10" s="8" t="s">
        <v>63</v>
      </c>
      <c r="D10" s="25" t="n">
        <f aca="false">B10*$B$3</f>
        <v>126</v>
      </c>
      <c r="E10" s="26" t="s">
        <v>58</v>
      </c>
    </row>
    <row r="11" customFormat="false" ht="16.5" hidden="false" customHeight="true" outlineLevel="0" collapsed="false">
      <c r="A11" s="6" t="s">
        <v>64</v>
      </c>
      <c r="B11" s="24" t="n">
        <v>0.085</v>
      </c>
      <c r="C11" s="8" t="s">
        <v>63</v>
      </c>
      <c r="D11" s="25" t="n">
        <f aca="false">B11*$B$3</f>
        <v>119</v>
      </c>
      <c r="E11" s="26" t="s">
        <v>58</v>
      </c>
    </row>
    <row r="12" customFormat="false" ht="16.5" hidden="false" customHeight="true" outlineLevel="0" collapsed="false">
      <c r="A12" s="8" t="s">
        <v>65</v>
      </c>
      <c r="B12" s="24" t="n">
        <v>0.0138</v>
      </c>
      <c r="C12" s="8" t="s">
        <v>57</v>
      </c>
      <c r="D12" s="25" t="n">
        <f aca="false">B12*$B$3</f>
        <v>19.32</v>
      </c>
      <c r="E12" s="26" t="s">
        <v>58</v>
      </c>
    </row>
    <row r="13" customFormat="false" ht="16.5" hidden="false" customHeight="true" outlineLevel="0" collapsed="false">
      <c r="A13" s="8" t="s">
        <v>66</v>
      </c>
      <c r="B13" s="24" t="n">
        <v>0.005</v>
      </c>
      <c r="C13" s="8" t="s">
        <v>57</v>
      </c>
      <c r="D13" s="25" t="n">
        <f aca="false">B13*$B$3</f>
        <v>7</v>
      </c>
      <c r="E13" s="26" t="s">
        <v>58</v>
      </c>
    </row>
    <row r="15" customFormat="false" ht="16.5" hidden="false" customHeight="true" outlineLevel="0" collapsed="false">
      <c r="A15" s="22" t="s">
        <v>67</v>
      </c>
      <c r="B15" s="22"/>
      <c r="C15" s="22"/>
      <c r="D15" s="22"/>
      <c r="E15" s="22"/>
    </row>
    <row r="16" customFormat="false" ht="15" hidden="false" customHeight="true" outlineLevel="0" collapsed="false">
      <c r="A16" s="23" t="s">
        <v>51</v>
      </c>
      <c r="B16" s="23" t="s">
        <v>52</v>
      </c>
      <c r="C16" s="23" t="s">
        <v>53</v>
      </c>
      <c r="D16" s="23" t="s">
        <v>54</v>
      </c>
      <c r="E16" s="23" t="s">
        <v>55</v>
      </c>
    </row>
    <row r="17" customFormat="false" ht="16.5" hidden="false" customHeight="true" outlineLevel="0" collapsed="false">
      <c r="A17" s="8" t="s">
        <v>68</v>
      </c>
      <c r="B17" s="24" t="n">
        <v>0.12</v>
      </c>
      <c r="C17" s="8" t="s">
        <v>63</v>
      </c>
      <c r="D17" s="25" t="n">
        <f aca="false">B17*$B$3</f>
        <v>168</v>
      </c>
      <c r="E17" s="26" t="s">
        <v>58</v>
      </c>
    </row>
    <row r="18" customFormat="false" ht="16.5" hidden="false" customHeight="true" outlineLevel="0" collapsed="false">
      <c r="A18" s="8" t="s">
        <v>69</v>
      </c>
      <c r="B18" s="24" t="n">
        <v>0.012</v>
      </c>
      <c r="C18" s="8" t="s">
        <v>70</v>
      </c>
      <c r="D18" s="25" t="n">
        <f aca="false">B18*$B$3</f>
        <v>16.8</v>
      </c>
      <c r="E18" s="26" t="s">
        <v>58</v>
      </c>
    </row>
    <row r="20" customFormat="false" ht="16.5" hidden="false" customHeight="true" outlineLevel="0" collapsed="false">
      <c r="A20" s="22" t="s">
        <v>71</v>
      </c>
      <c r="B20" s="22"/>
      <c r="C20" s="22"/>
      <c r="D20" s="22"/>
      <c r="E20" s="22"/>
    </row>
    <row r="21" customFormat="false" ht="15" hidden="false" customHeight="true" outlineLevel="0" collapsed="false">
      <c r="A21" s="23" t="s">
        <v>51</v>
      </c>
      <c r="B21" s="23" t="s">
        <v>72</v>
      </c>
      <c r="C21" s="23" t="s">
        <v>73</v>
      </c>
      <c r="D21" s="23" t="s">
        <v>74</v>
      </c>
      <c r="E21" s="23" t="s">
        <v>55</v>
      </c>
    </row>
    <row r="22" customFormat="false" ht="16.5" hidden="false" customHeight="true" outlineLevel="0" collapsed="false">
      <c r="A22" s="6" t="s">
        <v>75</v>
      </c>
      <c r="B22" s="27" t="n">
        <v>30000</v>
      </c>
      <c r="C22" s="8" t="s">
        <v>76</v>
      </c>
      <c r="D22" s="6" t="s">
        <v>77</v>
      </c>
      <c r="E22" s="26" t="s">
        <v>78</v>
      </c>
    </row>
    <row r="23" customFormat="false" ht="16.5" hidden="false" customHeight="true" outlineLevel="0" collapsed="false">
      <c r="A23" s="6" t="s">
        <v>79</v>
      </c>
      <c r="B23" s="27" t="n">
        <v>55000</v>
      </c>
      <c r="C23" s="8" t="s">
        <v>80</v>
      </c>
      <c r="D23" s="6" t="s">
        <v>81</v>
      </c>
      <c r="E23" s="26" t="s">
        <v>82</v>
      </c>
    </row>
    <row r="24" customFormat="false" ht="16.5" hidden="false" customHeight="true" outlineLevel="0" collapsed="false">
      <c r="A24" s="6" t="s">
        <v>83</v>
      </c>
      <c r="B24" s="27" t="n">
        <v>210000</v>
      </c>
      <c r="C24" s="8" t="s">
        <v>84</v>
      </c>
      <c r="D24" s="6" t="s">
        <v>85</v>
      </c>
      <c r="E24" s="26" t="s">
        <v>82</v>
      </c>
    </row>
    <row r="25" customFormat="false" ht="16.5" hidden="false" customHeight="true" outlineLevel="0" collapsed="false">
      <c r="A25" s="8" t="s">
        <v>86</v>
      </c>
      <c r="B25" s="27" t="n">
        <v>25000</v>
      </c>
      <c r="C25" s="8" t="s">
        <v>87</v>
      </c>
      <c r="D25" s="6" t="s">
        <v>88</v>
      </c>
      <c r="E25" s="26" t="s">
        <v>82</v>
      </c>
    </row>
  </sheetData>
  <mergeCells count="4">
    <mergeCell ref="A1:E1"/>
    <mergeCell ref="A5:E5"/>
    <mergeCell ref="A15:E15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4" min="2" style="1" width="12"/>
    <col collapsed="false" customWidth="true" hidden="false" outlineLevel="0" max="5" min="5" style="1" width="30"/>
  </cols>
  <sheetData>
    <row r="1" customFormat="false" ht="17.25" hidden="false" customHeight="true" outlineLevel="0" collapsed="false">
      <c r="A1" s="20" t="s">
        <v>89</v>
      </c>
      <c r="B1" s="20"/>
      <c r="C1" s="20"/>
      <c r="D1" s="20"/>
      <c r="E1" s="20"/>
    </row>
    <row r="3" customFormat="false" ht="13.5" hidden="false" customHeight="true" outlineLevel="0" collapsed="false">
      <c r="A3" s="28" t="s">
        <v>90</v>
      </c>
      <c r="B3" s="28"/>
      <c r="C3" s="28"/>
      <c r="D3" s="28"/>
      <c r="E3" s="28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6.5" hidden="false" customHeight="true" outlineLevel="0" collapsed="false">
      <c r="A6" s="29" t="s">
        <v>91</v>
      </c>
      <c r="B6" s="30" t="n">
        <v>20</v>
      </c>
      <c r="C6" s="30" t="n">
        <v>60</v>
      </c>
      <c r="D6" s="30" t="n">
        <v>140</v>
      </c>
      <c r="E6" s="31" t="s">
        <v>92</v>
      </c>
    </row>
    <row r="7" customFormat="false" ht="16.5" hidden="false" customHeight="true" outlineLevel="0" collapsed="false">
      <c r="A7" s="29" t="s">
        <v>93</v>
      </c>
      <c r="B7" s="30" t="n">
        <v>5</v>
      </c>
      <c r="C7" s="30" t="n">
        <v>15</v>
      </c>
      <c r="D7" s="30" t="n">
        <v>20</v>
      </c>
      <c r="E7" s="31" t="s">
        <v>94</v>
      </c>
    </row>
    <row r="8" customFormat="false" ht="16.5" hidden="false" customHeight="true" outlineLevel="0" collapsed="false">
      <c r="A8" s="29" t="s">
        <v>95</v>
      </c>
      <c r="B8" s="32" t="n">
        <f aca="false">B6*B7/1024</f>
        <v>0.09765625</v>
      </c>
      <c r="C8" s="32" t="n">
        <f aca="false">C6*C7/1024</f>
        <v>0.87890625</v>
      </c>
      <c r="D8" s="32" t="n">
        <f aca="false">D6*D7/1024</f>
        <v>2.734375</v>
      </c>
      <c r="E8" s="31" t="s">
        <v>96</v>
      </c>
    </row>
    <row r="9" customFormat="false" ht="16.5" hidden="false" customHeight="true" outlineLevel="0" collapsed="false">
      <c r="A9" s="29" t="s">
        <v>97</v>
      </c>
      <c r="B9" s="33" t="n">
        <v>0.5</v>
      </c>
      <c r="C9" s="33" t="n">
        <v>3</v>
      </c>
      <c r="D9" s="33" t="n">
        <v>10</v>
      </c>
      <c r="E9" s="34" t="s">
        <v>98</v>
      </c>
    </row>
    <row r="10" customFormat="false" ht="16.5" hidden="false" customHeight="true" outlineLevel="0" collapsed="false">
      <c r="A10" s="29" t="s">
        <v>99</v>
      </c>
      <c r="B10" s="30" t="n">
        <v>60</v>
      </c>
      <c r="C10" s="30" t="n">
        <v>200</v>
      </c>
      <c r="D10" s="30" t="n">
        <v>500</v>
      </c>
      <c r="E10" s="31" t="s">
        <v>100</v>
      </c>
    </row>
    <row r="11" customFormat="false" ht="16.5" hidden="false" customHeight="true" outlineLevel="0" collapsed="false">
      <c r="A11" s="29" t="s">
        <v>101</v>
      </c>
      <c r="B11" s="30" t="n">
        <v>300</v>
      </c>
      <c r="C11" s="30" t="n">
        <v>900</v>
      </c>
      <c r="D11" s="30" t="n">
        <v>2500</v>
      </c>
      <c r="E11" s="31" t="s">
        <v>102</v>
      </c>
    </row>
    <row r="12" customFormat="false" ht="16.5" hidden="false" customHeight="true" outlineLevel="0" collapsed="false">
      <c r="A12" s="29" t="s">
        <v>103</v>
      </c>
      <c r="B12" s="30" t="n">
        <v>100</v>
      </c>
      <c r="C12" s="30" t="n">
        <v>300</v>
      </c>
      <c r="D12" s="30" t="n">
        <v>600</v>
      </c>
      <c r="E12" s="31" t="s">
        <v>104</v>
      </c>
    </row>
    <row r="13" customFormat="false" ht="16.5" hidden="false" customHeight="true" outlineLevel="0" collapsed="false">
      <c r="A13" s="29" t="s">
        <v>105</v>
      </c>
      <c r="B13" s="33" t="n">
        <v>1.5</v>
      </c>
      <c r="C13" s="33" t="n">
        <v>4</v>
      </c>
      <c r="D13" s="33" t="n">
        <v>7.5</v>
      </c>
      <c r="E13" s="31" t="s">
        <v>106</v>
      </c>
    </row>
    <row r="14" customFormat="false" ht="16.5" hidden="false" customHeight="true" outlineLevel="0" collapsed="false">
      <c r="A14" s="29" t="s">
        <v>107</v>
      </c>
      <c r="B14" s="33" t="n">
        <v>0.3</v>
      </c>
      <c r="C14" s="33" t="n">
        <v>1.5</v>
      </c>
      <c r="D14" s="33" t="n">
        <v>5</v>
      </c>
      <c r="E14" s="34" t="s">
        <v>108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5"/>
  </cols>
  <sheetData>
    <row r="1" customFormat="false" ht="21" hidden="false" customHeight="true" outlineLevel="0" collapsed="false">
      <c r="A1" s="20" t="s">
        <v>39</v>
      </c>
      <c r="B1" s="20"/>
      <c r="C1" s="20"/>
      <c r="D1" s="20"/>
      <c r="E1" s="20"/>
      <c r="F1" s="20"/>
    </row>
    <row r="3" customFormat="false" ht="15" hidden="false" customHeight="true" outlineLevel="0" collapsed="false">
      <c r="A3" s="28" t="s">
        <v>109</v>
      </c>
      <c r="B3" s="28"/>
      <c r="C3" s="28"/>
      <c r="D3" s="28"/>
      <c r="E3" s="28"/>
      <c r="F3" s="28"/>
    </row>
    <row r="5" customFormat="false" ht="15" hidden="false" customHeight="true" outlineLevel="0" collapsed="false">
      <c r="A5" s="5" t="s">
        <v>110</v>
      </c>
      <c r="B5" s="5" t="s">
        <v>111</v>
      </c>
      <c r="C5" s="5" t="s">
        <v>112</v>
      </c>
      <c r="D5" s="5" t="s">
        <v>113</v>
      </c>
      <c r="E5" s="5" t="s">
        <v>114</v>
      </c>
      <c r="F5" s="5" t="s">
        <v>115</v>
      </c>
      <c r="G5" s="5" t="s">
        <v>116</v>
      </c>
    </row>
    <row r="6" customFormat="false" ht="16.5" hidden="false" customHeight="true" outlineLevel="0" collapsed="false">
      <c r="A6" s="8" t="s">
        <v>117</v>
      </c>
      <c r="B6" s="35" t="n">
        <f aca="false">2_사용자유형!B9*1_단가정보!B7</f>
        <v>0.0125</v>
      </c>
      <c r="C6" s="35" t="n">
        <f aca="false">2_사용자유형!C9*1_단가정보!B7</f>
        <v>0.075</v>
      </c>
      <c r="D6" s="35" t="n">
        <f aca="false">2_사용자유형!D9*1_단가정보!B7</f>
        <v>0.25</v>
      </c>
      <c r="E6" s="36" t="n">
        <f aca="false">B6*1_단가정보!$B$3</f>
        <v>17.5</v>
      </c>
      <c r="F6" s="36" t="n">
        <f aca="false">C6*1_단가정보!$B$3</f>
        <v>105</v>
      </c>
      <c r="G6" s="36" t="n">
        <f aca="false">D6*1_단가정보!$B$3</f>
        <v>350</v>
      </c>
    </row>
    <row r="7" customFormat="false" ht="16.5" hidden="false" customHeight="true" outlineLevel="0" collapsed="false">
      <c r="A7" s="8" t="s">
        <v>118</v>
      </c>
      <c r="B7" s="35" t="n">
        <f aca="false">(2_사용자유형!B10+2_사용자유형!B12)/1000*1_단가정보!B8+2_사용자유형!B11/1000*1_단가정보!B9</f>
        <v>0.000825</v>
      </c>
      <c r="C7" s="35" t="n">
        <f aca="false">(2_사용자유형!C10+2_사용자유형!C12)/1000*1_단가정보!B8+2_사용자유형!C11/1000*1_단가정보!B9</f>
        <v>0.002565</v>
      </c>
      <c r="D7" s="35" t="n">
        <f aca="false">(2_사용자유형!D10+2_사용자유형!D12)/1000*1_단가정보!B8+2_사용자유형!D11/1000*1_단가정보!B9</f>
        <v>0.005825</v>
      </c>
      <c r="E7" s="36" t="n">
        <f aca="false">B7*1_단가정보!$B$3</f>
        <v>1.155</v>
      </c>
      <c r="F7" s="36" t="n">
        <f aca="false">C7*1_단가정보!$B$3</f>
        <v>3.591</v>
      </c>
      <c r="G7" s="36" t="n">
        <f aca="false">D7*1_단가정보!$B$3</f>
        <v>8.155</v>
      </c>
    </row>
    <row r="8" customFormat="false" ht="16.5" hidden="false" customHeight="true" outlineLevel="0" collapsed="false">
      <c r="A8" s="8" t="s">
        <v>119</v>
      </c>
      <c r="B8" s="35" t="n">
        <f aca="false">2_사용자유형!B13*1_단가정보!B10</f>
        <v>0.135</v>
      </c>
      <c r="C8" s="35" t="n">
        <f aca="false">2_사용자유형!C13*1_단가정보!B10</f>
        <v>0.36</v>
      </c>
      <c r="D8" s="35" t="n">
        <f aca="false">2_사용자유형!D13*1_단가정보!B10</f>
        <v>0.675</v>
      </c>
      <c r="E8" s="36" t="n">
        <f aca="false">B8*1_단가정보!$B$3</f>
        <v>189</v>
      </c>
      <c r="F8" s="36" t="n">
        <f aca="false">C8*1_단가정보!$B$3</f>
        <v>504</v>
      </c>
      <c r="G8" s="36" t="n">
        <f aca="false">D8*1_단가정보!$B$3</f>
        <v>945</v>
      </c>
    </row>
    <row r="9" customFormat="false" ht="16.5" hidden="false" customHeight="true" outlineLevel="0" collapsed="false">
      <c r="A9" s="8" t="s">
        <v>120</v>
      </c>
      <c r="B9" s="35" t="n">
        <f aca="false">2_사용자유형!B14</f>
        <v>0.3</v>
      </c>
      <c r="C9" s="35" t="n">
        <f aca="false">2_사용자유형!C14</f>
        <v>1.5</v>
      </c>
      <c r="D9" s="35" t="n">
        <f aca="false">2_사용자유형!D14</f>
        <v>5</v>
      </c>
      <c r="E9" s="36" t="n">
        <f aca="false">B9*1_단가정보!$B$3</f>
        <v>420</v>
      </c>
      <c r="F9" s="36" t="n">
        <f aca="false">C9*1_단가정보!$B$3</f>
        <v>2100</v>
      </c>
      <c r="G9" s="36" t="n">
        <f aca="false">D9*1_단가정보!$B$3</f>
        <v>7000</v>
      </c>
    </row>
    <row r="10" customFormat="false" ht="15" hidden="false" customHeight="true" outlineLevel="0" collapsed="false">
      <c r="A10" s="6" t="s">
        <v>121</v>
      </c>
      <c r="B10" s="37" t="n">
        <v>0.15</v>
      </c>
      <c r="C10" s="37" t="n">
        <v>0.2</v>
      </c>
      <c r="D10" s="37" t="n">
        <v>0.3</v>
      </c>
      <c r="E10" s="36" t="n">
        <f aca="false">B10*1_단가정보!$B$3</f>
        <v>210</v>
      </c>
      <c r="F10" s="36" t="n">
        <f aca="false">C10*1_단가정보!$B$3</f>
        <v>280</v>
      </c>
      <c r="G10" s="36" t="n">
        <f aca="false">D10*1_단가정보!$B$3</f>
        <v>420</v>
      </c>
    </row>
    <row r="11" customFormat="false" ht="15" hidden="false" customHeight="true" outlineLevel="0" collapsed="false">
      <c r="A11" s="38" t="s">
        <v>122</v>
      </c>
      <c r="B11" s="39" t="n">
        <f aca="false">SUM(B6:B10)</f>
        <v>0.598325</v>
      </c>
      <c r="C11" s="39" t="n">
        <f aca="false">SUM(C6:C10)</f>
        <v>2.137565</v>
      </c>
      <c r="D11" s="39" t="n">
        <f aca="false">SUM(D6:D10)</f>
        <v>6.230825</v>
      </c>
      <c r="E11" s="7" t="n">
        <f aca="false">B11*1_단가정보!$B$3</f>
        <v>837.655</v>
      </c>
      <c r="F11" s="7" t="n">
        <f aca="false">C11*1_단가정보!$B$3</f>
        <v>2992.591</v>
      </c>
      <c r="G11" s="7" t="n">
        <f aca="false">D11*1_단가정보!$B$3</f>
        <v>8723.155</v>
      </c>
    </row>
    <row r="14" customFormat="false" ht="15" hidden="false" customHeight="true" outlineLevel="0" collapsed="false">
      <c r="A14" s="17" t="s">
        <v>123</v>
      </c>
    </row>
    <row r="15" customFormat="false" ht="15" hidden="false" customHeight="true" outlineLevel="0" collapsed="false">
      <c r="A15" s="40" t="s">
        <v>124</v>
      </c>
    </row>
    <row r="16" customFormat="false" ht="15" hidden="false" customHeight="true" outlineLevel="0" collapsed="false">
      <c r="A16" s="40" t="s">
        <v>125</v>
      </c>
    </row>
    <row r="17" customFormat="false" ht="15" hidden="false" customHeight="true" outlineLevel="0" collapsed="false">
      <c r="A17" s="40" t="s">
        <v>126</v>
      </c>
    </row>
    <row r="18" customFormat="false" ht="15" hidden="false" customHeight="true" outlineLevel="0" collapsed="false">
      <c r="A18" s="41" t="s">
        <v>127</v>
      </c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3"/>
  </cols>
  <sheetData>
    <row r="1" customFormat="false" ht="17.25" hidden="false" customHeight="true" outlineLevel="0" collapsed="false">
      <c r="A1" s="20" t="s">
        <v>128</v>
      </c>
      <c r="B1" s="20"/>
      <c r="C1" s="20"/>
      <c r="D1" s="20"/>
      <c r="E1" s="20"/>
      <c r="F1" s="20"/>
      <c r="G1" s="20"/>
    </row>
    <row r="3" customFormat="false" ht="15" hidden="false" customHeight="true" outlineLevel="0" collapsed="false">
      <c r="A3" s="28" t="s">
        <v>129</v>
      </c>
      <c r="B3" s="28"/>
      <c r="C3" s="28"/>
      <c r="D3" s="28"/>
      <c r="E3" s="28"/>
      <c r="F3" s="28"/>
      <c r="G3" s="28"/>
    </row>
    <row r="5" customFormat="false" ht="15" hidden="false" customHeight="true" outlineLevel="0" collapsed="false">
      <c r="A5" s="5" t="s">
        <v>3</v>
      </c>
      <c r="B5" s="9" t="s">
        <v>12</v>
      </c>
      <c r="C5" s="9" t="s">
        <v>130</v>
      </c>
      <c r="D5" s="9" t="s">
        <v>13</v>
      </c>
      <c r="E5" s="9" t="s">
        <v>131</v>
      </c>
      <c r="F5" s="9" t="s">
        <v>14</v>
      </c>
      <c r="G5" s="9" t="s">
        <v>15</v>
      </c>
    </row>
    <row r="6" customFormat="false" ht="16.5" hidden="false" customHeight="true" outlineLevel="0" collapsed="false">
      <c r="A6" s="6" t="s">
        <v>132</v>
      </c>
      <c r="B6" s="42" t="n">
        <v>60</v>
      </c>
      <c r="C6" s="42" t="n">
        <v>300</v>
      </c>
      <c r="D6" s="42" t="n">
        <v>600</v>
      </c>
      <c r="E6" s="42" t="n">
        <v>3000</v>
      </c>
      <c r="F6" s="42" t="n">
        <v>6000</v>
      </c>
      <c r="G6" s="42" t="n">
        <v>30000</v>
      </c>
    </row>
    <row r="7" customFormat="false" ht="16.5" hidden="false" customHeight="true" outlineLevel="0" collapsed="false">
      <c r="A7" s="6" t="s">
        <v>133</v>
      </c>
      <c r="B7" s="42" t="n">
        <v>30</v>
      </c>
      <c r="C7" s="42" t="n">
        <v>150</v>
      </c>
      <c r="D7" s="42" t="n">
        <v>300</v>
      </c>
      <c r="E7" s="42" t="n">
        <v>1500</v>
      </c>
      <c r="F7" s="42" t="n">
        <v>3000</v>
      </c>
      <c r="G7" s="42" t="n">
        <v>15000</v>
      </c>
    </row>
    <row r="8" customFormat="false" ht="16.5" hidden="false" customHeight="true" outlineLevel="0" collapsed="false">
      <c r="A8" s="6" t="s">
        <v>134</v>
      </c>
      <c r="B8" s="42" t="n">
        <v>10</v>
      </c>
      <c r="C8" s="42" t="n">
        <v>50</v>
      </c>
      <c r="D8" s="42" t="n">
        <v>100</v>
      </c>
      <c r="E8" s="42" t="n">
        <v>500</v>
      </c>
      <c r="F8" s="42" t="n">
        <v>1000</v>
      </c>
      <c r="G8" s="42" t="n">
        <v>5000</v>
      </c>
    </row>
    <row r="10" customFormat="false" ht="16.5" hidden="false" customHeight="true" outlineLevel="0" collapsed="false">
      <c r="A10" s="8" t="s">
        <v>135</v>
      </c>
      <c r="B10" s="36" t="n">
        <f aca="false">B6*3_사용자당원가!$E$6+B7*3_사용자당원가!$F$6+B8*3_사용자당원가!$G$6</f>
        <v>7700</v>
      </c>
      <c r="C10" s="36" t="n">
        <f aca="false">C6*3_사용자당원가!$E$6+C7*3_사용자당원가!$F$6+C8*3_사용자당원가!$G$6</f>
        <v>38500</v>
      </c>
      <c r="D10" s="36" t="n">
        <f aca="false">D6*3_사용자당원가!$E$6+D7*3_사용자당원가!$F$6+D8*3_사용자당원가!$G$6</f>
        <v>77000</v>
      </c>
      <c r="E10" s="36" t="n">
        <f aca="false">E6*3_사용자당원가!$E$6+E7*3_사용자당원가!$F$6+E8*3_사용자당원가!$G$6</f>
        <v>385000</v>
      </c>
      <c r="F10" s="36" t="n">
        <f aca="false">F6*3_사용자당원가!$E$6+F7*3_사용자당원가!$F$6+F8*3_사용자당원가!$G$6</f>
        <v>770000</v>
      </c>
      <c r="G10" s="36" t="n">
        <f aca="false">G6*3_사용자당원가!$E$6+G7*3_사용자당원가!$F$6+G8*3_사용자당원가!$G$6</f>
        <v>3850000</v>
      </c>
    </row>
    <row r="11" customFormat="false" ht="16.5" hidden="false" customHeight="true" outlineLevel="0" collapsed="false">
      <c r="A11" s="8" t="s">
        <v>136</v>
      </c>
      <c r="B11" s="36" t="n">
        <f aca="false">B6*3_사용자당원가!$E$7+B7*3_사용자당원가!$F$7+B8*3_사용자당원가!$G$7</f>
        <v>258.58</v>
      </c>
      <c r="C11" s="36" t="n">
        <f aca="false">C6*3_사용자당원가!$E$7+C7*3_사용자당원가!$F$7+C8*3_사용자당원가!$G$7</f>
        <v>1292.9</v>
      </c>
      <c r="D11" s="36" t="n">
        <f aca="false">D6*3_사용자당원가!$E$7+D7*3_사용자당원가!$F$7+D8*3_사용자당원가!$G$7</f>
        <v>2585.8</v>
      </c>
      <c r="E11" s="36" t="n">
        <f aca="false">E6*3_사용자당원가!$E$7+E7*3_사용자당원가!$F$7+E8*3_사용자당원가!$G$7</f>
        <v>12929</v>
      </c>
      <c r="F11" s="36" t="n">
        <f aca="false">F6*3_사용자당원가!$E$7+F7*3_사용자당원가!$F$7+F8*3_사용자당원가!$G$7</f>
        <v>25858</v>
      </c>
      <c r="G11" s="36" t="n">
        <f aca="false">G6*3_사용자당원가!$E$7+G7*3_사용자당원가!$F$7+G8*3_사용자당원가!$G$7</f>
        <v>129290</v>
      </c>
    </row>
    <row r="12" customFormat="false" ht="16.5" hidden="false" customHeight="true" outlineLevel="0" collapsed="false">
      <c r="A12" s="8" t="s">
        <v>137</v>
      </c>
      <c r="B12" s="36" t="n">
        <f aca="false">B6*3_사용자당원가!$E$8+B7*3_사용자당원가!$F$8+B8*3_사용자당원가!$G$8</f>
        <v>35910</v>
      </c>
      <c r="C12" s="36" t="n">
        <f aca="false">C6*3_사용자당원가!$E$8+C7*3_사용자당원가!$F$8+C8*3_사용자당원가!$G$8</f>
        <v>179550</v>
      </c>
      <c r="D12" s="36" t="n">
        <f aca="false">D6*3_사용자당원가!$E$8+D7*3_사용자당원가!$F$8+D8*3_사용자당원가!$G$8</f>
        <v>359100</v>
      </c>
      <c r="E12" s="36" t="n">
        <f aca="false">E6*3_사용자당원가!$E$8+E7*3_사용자당원가!$F$8+E8*3_사용자당원가!$G$8</f>
        <v>1795500</v>
      </c>
      <c r="F12" s="36" t="n">
        <f aca="false">F6*3_사용자당원가!$E$8+F7*3_사용자당원가!$F$8+F8*3_사용자당원가!$G$8</f>
        <v>3591000</v>
      </c>
      <c r="G12" s="36" t="n">
        <f aca="false">G6*3_사용자당원가!$E$8+G7*3_사용자당원가!$F$8+G8*3_사용자당원가!$G$8</f>
        <v>17955000</v>
      </c>
    </row>
    <row r="13" customFormat="false" ht="15" hidden="false" customHeight="true" outlineLevel="0" collapsed="false">
      <c r="A13" s="8" t="s">
        <v>138</v>
      </c>
      <c r="B13" s="36" t="n">
        <f aca="false">B6*3_사용자당원가!$E$9+B7*3_사용자당원가!$F$9+B8*3_사용자당원가!$G$9</f>
        <v>158200</v>
      </c>
      <c r="C13" s="36" t="n">
        <f aca="false">C6*3_사용자당원가!$E$9+C7*3_사용자당원가!$F$9+C8*3_사용자당원가!$G$9</f>
        <v>791000</v>
      </c>
      <c r="D13" s="36" t="n">
        <f aca="false">D6*3_사용자당원가!$E$9+D7*3_사용자당원가!$F$9+D8*3_사용자당원가!$G$9</f>
        <v>1582000</v>
      </c>
      <c r="E13" s="36" t="n">
        <f aca="false">E6*3_사용자당원가!$E$9+E7*3_사용자당원가!$F$9+E8*3_사용자당원가!$G$9</f>
        <v>7910000</v>
      </c>
      <c r="F13" s="36" t="n">
        <f aca="false">F6*3_사용자당원가!$E$9+F7*3_사용자당원가!$F$9+F8*3_사용자당원가!$G$9</f>
        <v>15820000</v>
      </c>
      <c r="G13" s="36" t="n">
        <f aca="false">G6*3_사용자당원가!$E$9+G7*3_사용자당원가!$F$9+G8*3_사용자당원가!$G$9</f>
        <v>79100000</v>
      </c>
    </row>
    <row r="14" customFormat="false" ht="16.5" hidden="false" customHeight="true" outlineLevel="0" collapsed="false">
      <c r="A14" s="6" t="s">
        <v>139</v>
      </c>
      <c r="B14" s="43" t="n">
        <v>30000</v>
      </c>
      <c r="C14" s="43" t="n">
        <v>55000</v>
      </c>
      <c r="D14" s="43" t="n">
        <v>80000</v>
      </c>
      <c r="E14" s="43" t="n">
        <v>240000</v>
      </c>
      <c r="F14" s="43" t="n">
        <v>480000</v>
      </c>
      <c r="G14" s="43" t="n">
        <v>2000000</v>
      </c>
    </row>
    <row r="15" customFormat="false" ht="16.5" hidden="false" customHeight="true" outlineLevel="0" collapsed="false">
      <c r="A15" s="6" t="s">
        <v>140</v>
      </c>
      <c r="B15" s="7" t="n">
        <f aca="false">SUM(B10:B14)</f>
        <v>232068.58</v>
      </c>
      <c r="C15" s="7" t="n">
        <f aca="false">SUM(C10:C14)</f>
        <v>1065342.9</v>
      </c>
      <c r="D15" s="7" t="n">
        <f aca="false">SUM(D10:D14)</f>
        <v>2100685.8</v>
      </c>
      <c r="E15" s="7" t="n">
        <f aca="false">SUM(E10:E14)</f>
        <v>10343429</v>
      </c>
      <c r="F15" s="7" t="n">
        <f aca="false">SUM(F10:F14)</f>
        <v>20686858</v>
      </c>
      <c r="G15" s="7" t="n">
        <f aca="false">SUM(G10:G14)</f>
        <v>103034290</v>
      </c>
    </row>
    <row r="16" customFormat="false" ht="15" hidden="false" customHeight="true" outlineLevel="0" collapsed="false">
      <c r="A16" s="44" t="s">
        <v>141</v>
      </c>
      <c r="B16" s="10" t="n">
        <f aca="false">B15/(B6+B7+B8)</f>
        <v>2320.6858</v>
      </c>
      <c r="C16" s="10" t="n">
        <f aca="false">C15/(C6+C7+C8)</f>
        <v>2130.6858</v>
      </c>
      <c r="D16" s="10" t="n">
        <f aca="false">D15/(D6+D7+D8)</f>
        <v>2100.6858</v>
      </c>
      <c r="E16" s="10" t="n">
        <f aca="false">E15/(E6+E7+E8)</f>
        <v>2068.6858</v>
      </c>
      <c r="F16" s="10" t="n">
        <f aca="false">F15/(F6+F7+F8)</f>
        <v>2068.6858</v>
      </c>
      <c r="G16" s="10" t="n">
        <f aca="false">G15/(G6+G7+G8)</f>
        <v>2060.6858</v>
      </c>
    </row>
    <row r="18" customFormat="false" ht="15" hidden="false" customHeight="true" outlineLevel="0" collapsed="false">
      <c r="A18" s="17" t="s">
        <v>142</v>
      </c>
    </row>
    <row r="19" customFormat="false" ht="15" hidden="false" customHeight="true" outlineLevel="0" collapsed="false">
      <c r="A19" s="45" t="s">
        <v>143</v>
      </c>
      <c r="B19" s="45"/>
      <c r="C19" s="45"/>
      <c r="D19" s="45"/>
      <c r="E19" s="45"/>
      <c r="F19" s="45"/>
      <c r="G19" s="45"/>
    </row>
    <row r="20" customFormat="false" ht="15" hidden="false" customHeight="true" outlineLevel="0" collapsed="false">
      <c r="A20" s="45" t="s">
        <v>144</v>
      </c>
      <c r="B20" s="45"/>
      <c r="C20" s="45"/>
      <c r="D20" s="45"/>
      <c r="E20" s="45"/>
      <c r="F20" s="45"/>
      <c r="G20" s="45"/>
    </row>
    <row r="21" customFormat="false" ht="15" hidden="false" customHeight="true" outlineLevel="0" collapsed="false">
      <c r="A21" s="45" t="s">
        <v>145</v>
      </c>
      <c r="B21" s="45"/>
      <c r="C21" s="45"/>
      <c r="D21" s="45"/>
      <c r="E21" s="45"/>
      <c r="F21" s="45"/>
      <c r="G21" s="45"/>
    </row>
    <row r="22" customFormat="false" ht="15" hidden="false" customHeight="true" outlineLevel="0" collapsed="false">
      <c r="A22" s="45" t="s">
        <v>146</v>
      </c>
      <c r="B22" s="45"/>
      <c r="C22" s="45"/>
      <c r="D22" s="45"/>
      <c r="E22" s="45"/>
      <c r="F22" s="45"/>
      <c r="G22" s="45"/>
    </row>
    <row r="23" customFormat="false" ht="15" hidden="false" customHeight="true" outlineLevel="0" collapsed="false">
      <c r="A23" s="45" t="s">
        <v>147</v>
      </c>
      <c r="B23" s="45"/>
      <c r="C23" s="45"/>
      <c r="D23" s="45"/>
      <c r="E23" s="45"/>
      <c r="F23" s="45"/>
      <c r="G23" s="45"/>
    </row>
    <row r="24" customFormat="false" ht="15" hidden="false" customHeight="true" outlineLevel="0" collapsed="false">
      <c r="A24" s="45" t="s">
        <v>148</v>
      </c>
      <c r="B24" s="45"/>
      <c r="C24" s="45"/>
      <c r="D24" s="45"/>
      <c r="E24" s="45"/>
      <c r="F24" s="45"/>
      <c r="G24" s="45"/>
    </row>
  </sheetData>
  <mergeCells count="8">
    <mergeCell ref="A1:G1"/>
    <mergeCell ref="A3:G3"/>
    <mergeCell ref="A19:G19"/>
    <mergeCell ref="A20:G20"/>
    <mergeCell ref="A21:G21"/>
    <mergeCell ref="A22:G22"/>
    <mergeCell ref="A23:G23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5"/>
  </cols>
  <sheetData>
    <row r="1" customFormat="false" ht="21" hidden="false" customHeight="true" outlineLevel="0" collapsed="false">
      <c r="A1" s="46" t="s">
        <v>149</v>
      </c>
      <c r="B1" s="46"/>
      <c r="C1" s="46"/>
      <c r="D1" s="46"/>
      <c r="E1" s="46"/>
    </row>
    <row r="3" customFormat="false" ht="13.5" hidden="false" customHeight="true" outlineLevel="0" collapsed="false">
      <c r="A3" s="47" t="s">
        <v>150</v>
      </c>
      <c r="B3" s="47"/>
      <c r="C3" s="47"/>
      <c r="D3" s="47"/>
      <c r="E3" s="47"/>
    </row>
    <row r="5" customFormat="false" ht="16.5" hidden="false" customHeight="true" outlineLevel="0" collapsed="false">
      <c r="A5" s="1" t="s">
        <v>151</v>
      </c>
      <c r="B5" s="48" t="n">
        <v>0.4</v>
      </c>
    </row>
    <row r="7" customFormat="false" ht="15" hidden="false" customHeight="true" outlineLevel="0" collapsed="false">
      <c r="A7" s="5" t="s">
        <v>3</v>
      </c>
      <c r="B7" s="9" t="s">
        <v>13</v>
      </c>
      <c r="C7" s="9" t="s">
        <v>131</v>
      </c>
      <c r="D7" s="9" t="s">
        <v>14</v>
      </c>
      <c r="E7" s="9" t="s">
        <v>15</v>
      </c>
    </row>
    <row r="8" customFormat="false" ht="15" hidden="false" customHeight="true" outlineLevel="0" collapsed="false">
      <c r="A8" s="49" t="s">
        <v>152</v>
      </c>
      <c r="B8" s="49"/>
      <c r="C8" s="49"/>
      <c r="D8" s="49"/>
      <c r="E8" s="49"/>
    </row>
    <row r="9" customFormat="false" ht="16.5" hidden="false" customHeight="true" outlineLevel="0" collapsed="false">
      <c r="A9" s="8" t="s">
        <v>153</v>
      </c>
      <c r="B9" s="36" t="n">
        <f aca="false">4_규모별원가!D12</f>
        <v>359100</v>
      </c>
      <c r="C9" s="36" t="n">
        <f aca="false">4_규모별원가!E12</f>
        <v>1795500</v>
      </c>
      <c r="D9" s="36" t="n">
        <f aca="false">4_규모별원가!F12</f>
        <v>3591000</v>
      </c>
      <c r="E9" s="36" t="n">
        <f aca="false">4_규모별원가!G12</f>
        <v>17955000</v>
      </c>
    </row>
    <row r="11" customFormat="false" ht="15" hidden="false" customHeight="true" outlineLevel="0" collapsed="false">
      <c r="A11" s="50" t="s">
        <v>154</v>
      </c>
      <c r="B11" s="50"/>
      <c r="C11" s="50"/>
      <c r="D11" s="50"/>
      <c r="E11" s="50"/>
    </row>
    <row r="12" customFormat="false" ht="16.5" hidden="false" customHeight="true" outlineLevel="0" collapsed="false">
      <c r="A12" s="8" t="s">
        <v>155</v>
      </c>
      <c r="B12" s="36" t="n">
        <f aca="false">B9*(1-$B$5)</f>
        <v>215460</v>
      </c>
      <c r="C12" s="36" t="n">
        <f aca="false">C9*(1-$B$5)</f>
        <v>1077300</v>
      </c>
      <c r="D12" s="36" t="n">
        <f aca="false">D9*(1-$B$5)</f>
        <v>2154600</v>
      </c>
      <c r="E12" s="36" t="n">
        <f aca="false">E9*(1-$B$5)</f>
        <v>10773000</v>
      </c>
    </row>
    <row r="13" customFormat="false" ht="16.5" hidden="false" customHeight="true" outlineLevel="0" collapsed="false">
      <c r="A13" s="8"/>
      <c r="B13" s="36"/>
      <c r="C13" s="36"/>
      <c r="D13" s="36"/>
      <c r="E13" s="36"/>
    </row>
    <row r="14" customFormat="false" ht="16.5" hidden="false" customHeight="true" outlineLevel="0" collapsed="false">
      <c r="A14" s="51" t="s">
        <v>156</v>
      </c>
      <c r="B14" s="7" t="n">
        <f aca="false">B12</f>
        <v>215460</v>
      </c>
      <c r="C14" s="7" t="n">
        <f aca="false">C12</f>
        <v>1077300</v>
      </c>
      <c r="D14" s="7" t="n">
        <f aca="false">D12</f>
        <v>2154600</v>
      </c>
      <c r="E14" s="7" t="n">
        <f aca="false">E12</f>
        <v>10773000</v>
      </c>
    </row>
    <row r="16" customFormat="false" ht="15" hidden="false" customHeight="true" outlineLevel="0" collapsed="false">
      <c r="A16" s="52" t="s">
        <v>157</v>
      </c>
      <c r="B16" s="10" t="n">
        <f aca="false">B9-B14</f>
        <v>143640</v>
      </c>
      <c r="C16" s="10" t="n">
        <f aca="false">C9-C14</f>
        <v>718200</v>
      </c>
      <c r="D16" s="10" t="n">
        <f aca="false">D9-D14</f>
        <v>1436400</v>
      </c>
      <c r="E16" s="10" t="n">
        <f aca="false">E9-E14</f>
        <v>7182000</v>
      </c>
    </row>
    <row r="17" customFormat="false" ht="15" hidden="false" customHeight="true" outlineLevel="0" collapsed="false">
      <c r="A17" s="52" t="s">
        <v>158</v>
      </c>
      <c r="B17" s="53" t="n">
        <f aca="false">B16/B9</f>
        <v>0.4</v>
      </c>
      <c r="C17" s="53" t="n">
        <f aca="false">C16/C9</f>
        <v>0.4</v>
      </c>
      <c r="D17" s="53" t="n">
        <f aca="false">D16/D9</f>
        <v>0.4</v>
      </c>
      <c r="E17" s="53" t="n">
        <f aca="false">E16/E9</f>
        <v>0.4</v>
      </c>
    </row>
    <row r="20" customFormat="false" ht="15" hidden="false" customHeight="true" outlineLevel="0" collapsed="false">
      <c r="A20" s="17" t="s">
        <v>159</v>
      </c>
    </row>
    <row r="21" customFormat="false" ht="15" hidden="false" customHeight="true" outlineLevel="0" collapsed="false">
      <c r="A21" s="54" t="s">
        <v>160</v>
      </c>
      <c r="B21" s="54"/>
      <c r="C21" s="54"/>
      <c r="D21" s="54"/>
      <c r="E21" s="54"/>
    </row>
    <row r="22" customFormat="false" ht="15" hidden="false" customHeight="true" outlineLevel="0" collapsed="false">
      <c r="A22" s="54" t="s">
        <v>161</v>
      </c>
      <c r="B22" s="54"/>
      <c r="C22" s="54"/>
      <c r="D22" s="54"/>
      <c r="E22" s="54"/>
    </row>
    <row r="23" customFormat="false" ht="15" hidden="false" customHeight="true" outlineLevel="0" collapsed="false">
      <c r="A23" s="54" t="s">
        <v>162</v>
      </c>
      <c r="B23" s="54"/>
      <c r="C23" s="54"/>
      <c r="D23" s="54"/>
      <c r="E23" s="54"/>
    </row>
    <row r="24" customFormat="false" ht="15" hidden="false" customHeight="true" outlineLevel="0" collapsed="false">
      <c r="A24" s="45" t="s">
        <v>163</v>
      </c>
      <c r="B24" s="45"/>
      <c r="C24" s="45"/>
      <c r="D24" s="45"/>
      <c r="E24" s="45"/>
    </row>
  </sheetData>
  <mergeCells count="8">
    <mergeCell ref="A1:E1"/>
    <mergeCell ref="A3:E3"/>
    <mergeCell ref="A8:E8"/>
    <mergeCell ref="A11:E11"/>
    <mergeCell ref="A21:E21"/>
    <mergeCell ref="A22:E22"/>
    <mergeCell ref="A23:E23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2026-07-04T11:44:00Z</dcterms:created>
  <dc:creator>openpyxl</dc:creator>
  <dc:description/>
  <dc:language>en-US</dc:language>
  <cp:lastModifiedBy/>
  <dcterms:modified xsi:type="dcterms:W3CDTF">2026-07-04T11:45:09Z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